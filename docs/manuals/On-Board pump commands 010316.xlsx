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2" firstSheet="0" activeTab="2"/>
  </bookViews>
  <sheets>
    <sheet name="NOTES" sheetId="1" state="visible" r:id="rId2"/>
    <sheet name="Parser" sheetId="2" state="visible" r:id="rId3"/>
    <sheet name="Pump Module" sheetId="3" state="visible" r:id="rId4"/>
    <sheet name="Regen response (O)" sheetId="4" state="visible" r:id="rId5"/>
    <sheet name="Network Terminal" sheetId="5" state="visible" r:id="rId6"/>
    <sheet name="pump summary" sheetId="6" state="visible" r:id="rId7"/>
    <sheet name="controller summary" sheetId="7" state="visible" r:id="rId8"/>
  </sheets>
  <definedNames>
    <definedName function="false" hidden="false" localSheetId="4" name="_xlnm.Print_Area" vbProcedure="false">'Network Terminal'!$A$1:$K$142</definedName>
    <definedName function="false" hidden="false" localSheetId="1" name="_xlnm.Print_Area" vbProcedure="false">Parser!$A$1:$U$66</definedName>
    <definedName function="false" hidden="false" localSheetId="2" name="_xlnm.Print_Area" vbProcedure="false">'Pump Module'!$A$2:$K$147</definedName>
    <definedName function="false" hidden="false" localSheetId="3" name="_xlnm.Print_Area" vbProcedure="false">'Regen response (O)'!$A$1:$G$26</definedName>
    <definedName function="false" hidden="false" localSheetId="1" name="_xlnm.Print_Area" vbProcedure="false">Parser!$A$1:$U$66</definedName>
    <definedName function="false" hidden="false" localSheetId="1" name="_xlnm.Print_Area_0" vbProcedure="false">Parser!$A$1:$U$66</definedName>
    <definedName function="false" hidden="false" localSheetId="1" name="_xlnm.Print_Area_0_0" vbProcedure="false">Parser!$A$1:$U$66</definedName>
    <definedName function="false" hidden="false" localSheetId="1" name="_xlnm.Print_Area_0_0_0" vbProcedure="false">Parser!$A$1:$U$66</definedName>
    <definedName function="false" hidden="false" localSheetId="1" name="_xlnm.Print_Area_0_0_0_0" vbProcedure="false">Parser!$A$1:$U$66</definedName>
    <definedName function="false" hidden="false" localSheetId="1" name="_xlnm.Print_Area_0_0_0_0_0" vbProcedure="false">Parser!$A$1:$U$66</definedName>
    <definedName function="false" hidden="false" localSheetId="1" name="_xlnm.Print_Area_0_0_0_0_0_0" vbProcedure="false">Parser!$A$1:$U$66</definedName>
    <definedName function="false" hidden="false" localSheetId="2" name="_xlnm.Print_Area" vbProcedure="false">'Pump Module'!$A$2:$K$147</definedName>
    <definedName function="false" hidden="false" localSheetId="2" name="_xlnm.Print_Area_0" vbProcedure="false">'Pump Module'!$A$2:$K$147</definedName>
    <definedName function="false" hidden="false" localSheetId="2" name="_xlnm.Print_Area_0_0" vbProcedure="false">'Pump Module'!$A$2:$K$147</definedName>
    <definedName function="false" hidden="false" localSheetId="2" name="_xlnm.Print_Area_0_0_0" vbProcedure="false">'Pump Module'!$A$2:$K$147</definedName>
    <definedName function="false" hidden="false" localSheetId="2" name="_xlnm.Print_Area_0_0_0_0" vbProcedure="false">'Pump Module'!$A$2:$K$147</definedName>
    <definedName function="false" hidden="false" localSheetId="2" name="_xlnm.Print_Area_0_0_0_0_0" vbProcedure="false">'Pump Module'!$A$2:$K$147</definedName>
    <definedName function="false" hidden="false" localSheetId="2" name="_xlnm.Print_Area_0_0_0_0_0_0" vbProcedure="false">'Pump Module'!$A$2:$K$147</definedName>
    <definedName function="false" hidden="false" localSheetId="3" name="_xlnm.Print_Area" vbProcedure="false">'Regen response (O)'!$A$1:$G$26</definedName>
    <definedName function="false" hidden="false" localSheetId="3" name="_xlnm.Print_Area_0" vbProcedure="false">'Regen response (O)'!$A$1:$G$26</definedName>
    <definedName function="false" hidden="false" localSheetId="3" name="_xlnm.Print_Area_0_0" vbProcedure="false">'Regen response (O)'!$A$1:$G$26</definedName>
    <definedName function="false" hidden="false" localSheetId="3" name="_xlnm.Print_Area_0_0_0" vbProcedure="false">'Regen response (O)'!$A$1:$G$26</definedName>
    <definedName function="false" hidden="false" localSheetId="3" name="_xlnm.Print_Area_0_0_0_0" vbProcedure="false">'Regen response (O)'!$A$1:$G$26</definedName>
    <definedName function="false" hidden="false" localSheetId="3" name="_xlnm.Print_Area_0_0_0_0_0" vbProcedure="false">'Regen response (O)'!$A$1:$G$26</definedName>
    <definedName function="false" hidden="false" localSheetId="3" name="_xlnm.Print_Area_0_0_0_0_0_0" vbProcedure="false">'Regen response (O)'!$A$1:$G$26</definedName>
    <definedName function="false" hidden="false" localSheetId="4" name="_xlnm.Print_Area" vbProcedure="false">'Network Terminal'!$A$1:$K$142</definedName>
    <definedName function="false" hidden="false" localSheetId="4" name="_xlnm.Print_Area_0" vbProcedure="false">'Network Terminal'!$A$1:$K$142</definedName>
    <definedName function="false" hidden="false" localSheetId="4" name="_xlnm.Print_Area_0_0" vbProcedure="false">'Network Terminal'!$A$1:$K$142</definedName>
    <definedName function="false" hidden="false" localSheetId="4" name="_xlnm.Print_Area_0_0_0" vbProcedure="false">'Network Terminal'!$A$1:$K$142</definedName>
    <definedName function="false" hidden="false" localSheetId="4" name="_xlnm.Print_Area_0_0_0_0" vbProcedure="false">'Network Terminal'!$A$1:$K$142</definedName>
    <definedName function="false" hidden="false" localSheetId="4" name="_xlnm.Print_Area_0_0_0_0_0" vbProcedure="false">'Network Terminal'!$A$1:$K$142</definedName>
    <definedName function="false" hidden="false" localSheetId="4" name="_xlnm.Print_Area_0_0_0_0_0_0" vbProcedure="false">'Network Terminal'!$A$1:$K$142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<sst xmlns="http://schemas.openxmlformats.org/spreadsheetml/2006/main" count="1627" uniqueCount="780">
  <si>
    <t xml:space="preserve">NOTES:</t>
  </si>
  <si>
    <t xml:space="preserve">The attached worksheets list the commands used to communicate with the On-Board Network Terminal and with the On-Board cryopump module.  These were taken from published Helix manuals available on the Helix web site.  They are belived to represent the most-current version which is being used by AMAT.  These manuals are copyrighted, so no wording should be copied into SHI-APD manuals or literature to be used by customers.</t>
  </si>
  <si>
    <t xml:space="preserve">Pump commands are sent through the Network Terminal.  Commands intended for the terminal itself begin with $Nxx..where xx indicates the network terminal number from 00 to 19, default value is 00.  Pump commands begin with $Pxx… where xx indicates the pump number from 0 to 20.</t>
  </si>
  <si>
    <t xml:space="preserve">Commands are constructed from a string of ASCII characters.  The first character is a $, the last character is a Cariage Return.</t>
  </si>
  <si>
    <t xml:space="preserve">Approximately 20-25 commands for the Network terminal and 20-25 commands for the pump modules must be interpreted and responded to with a valid response.  In some cases, the response may be a fixed value, rather than a measured or computed value, which allows the host software to continue without generating a communication error.</t>
  </si>
  <si>
    <t xml:space="preserve">The PARSER page contains the algorithm for generating the full ASCII command string for a desired function.  It generates the "checksum" character.  The calculation of the checksum character is normally done in software using the XOR (exclusive or) logical function.  In this Excel worksheet, the logical functions are simulated with standard Excel functions.</t>
  </si>
  <si>
    <t xml:space="preserve">The VARIABLES page contains a preliminary list of variable names to be used for programming.  This list is not yet complete but contains most of the variables needed for individual pumps.</t>
  </si>
  <si>
    <t xml:space="preserve">prepared by Gary Ash, April 17,2003</t>
  </si>
  <si>
    <t xml:space="preserve">     updated April 30, 2003</t>
  </si>
  <si>
    <t xml:space="preserve">Events and Properties added 8/6/03</t>
  </si>
  <si>
    <t xml:space="preserve">Updated by G. Ash, Jan 3, 2016</t>
  </si>
  <si>
    <t xml:space="preserve">PARSER for On-Board cryopump command set</t>
  </si>
  <si>
    <t xml:space="preserve">CHARACTER NUMBER</t>
  </si>
  <si>
    <t xml:space="preserve">Enter up to 14 characters</t>
  </si>
  <si>
    <t xml:space="preserve">LENGTH=</t>
  </si>
  <si>
    <t xml:space="preserve">SUM</t>
  </si>
  <si>
    <t xml:space="preserve">PUMP MODULE DIRECT</t>
  </si>
  <si>
    <t xml:space="preserve">CHAR</t>
  </si>
  <si>
    <r>
      <rPr>
        <sz val="10"/>
        <rFont val="Arial"/>
        <family val="2"/>
        <charset val="1"/>
      </rPr>
      <t xml:space="preserve">DESIRED COMMAND:      </t>
    </r>
    <r>
      <rPr>
        <b val="true"/>
        <sz val="10"/>
        <rFont val="Arial"/>
        <family val="2"/>
        <charset val="1"/>
      </rPr>
      <t xml:space="preserve">$</t>
    </r>
  </si>
  <si>
    <t xml:space="preserve">A1</t>
  </si>
  <si>
    <t xml:space="preserve">HEX</t>
  </si>
  <si>
    <t xml:space="preserve">BIN</t>
  </si>
  <si>
    <t xml:space="preserve">DEC</t>
  </si>
  <si>
    <t xml:space="preserve">Decimal sum</t>
  </si>
  <si>
    <t xml:space="preserve">Decimal sum Mod 256</t>
  </si>
  <si>
    <t xml:space="preserve">FINAL OUTPUT STRING</t>
  </si>
  <si>
    <t xml:space="preserve">BIN SUM (mod256)=</t>
  </si>
  <si>
    <t xml:space="preserve">LSB</t>
  </si>
  <si>
    <t xml:space="preserve">D0</t>
  </si>
  <si>
    <t xml:space="preserve">D1</t>
  </si>
  <si>
    <t xml:space="preserve">D6</t>
  </si>
  <si>
    <t xml:space="preserve">C/R = carriage return (dec=13)</t>
  </si>
  <si>
    <t xml:space="preserve">MSB</t>
  </si>
  <si>
    <t xml:space="preserve">D7</t>
  </si>
  <si>
    <t xml:space="preserve">[no actual space before C/R]</t>
  </si>
  <si>
    <t xml:space="preserve">New D0</t>
  </si>
  <si>
    <t xml:space="preserve">New D1</t>
  </si>
  <si>
    <t xml:space="preserve">D2 to D5</t>
  </si>
  <si>
    <t xml:space="preserve">New binary</t>
  </si>
  <si>
    <t xml:space="preserve">New Hex</t>
  </si>
  <si>
    <t xml:space="preserve">New Dec</t>
  </si>
  <si>
    <t xml:space="preserve">Shifted Dec</t>
  </si>
  <si>
    <t xml:space="preserve">Shifted Hex</t>
  </si>
  <si>
    <t xml:space="preserve">Checksum char</t>
  </si>
  <si>
    <t xml:space="preserve">PUMP MODULE VIA Network Terminal</t>
  </si>
  <si>
    <t xml:space="preserve">P01A1</t>
  </si>
  <si>
    <t xml:space="preserve">Pump commands always begin $Pxx… (xx=00-19)</t>
  </si>
  <si>
    <t xml:space="preserve">Assume P01</t>
  </si>
  <si>
    <t xml:space="preserve">Network commands begin $N…</t>
  </si>
  <si>
    <t xml:space="preserve">NETWORK TERMINAL</t>
  </si>
  <si>
    <t xml:space="preserve">NlAWow!</t>
  </si>
  <si>
    <t xml:space="preserve">Network commands always begin $Nxx… (xx=00-19)</t>
  </si>
  <si>
    <t xml:space="preserve">Assume N00</t>
  </si>
  <si>
    <t xml:space="preserve">Pump commands begin $Pxx…</t>
  </si>
  <si>
    <t xml:space="preserve">Not in current software libraries</t>
  </si>
  <si>
    <t xml:space="preserve">PUMP MODULE COMMANDS </t>
  </si>
  <si>
    <t xml:space="preserve">All commands begin with $Pxx…</t>
  </si>
  <si>
    <t xml:space="preserve">Partially completed in current software libraries</t>
  </si>
  <si>
    <t xml:space="preserve">(NOTE: From On-Board FastRegen Control Module Manual, p/n 8040406, Rev 100, Sept. 2001)</t>
  </si>
  <si>
    <t xml:space="preserve">Exists in current software libraries</t>
  </si>
  <si>
    <t xml:space="preserve">Need for AMJ eval?
Y=yes,
?=maybe</t>
  </si>
  <si>
    <t xml:space="preserve">Numeric</t>
  </si>
  <si>
    <t xml:space="preserve">ASCII</t>
  </si>
  <si>
    <t xml:space="preserve">PARAM</t>
  </si>
  <si>
    <t xml:space="preserve">COMMENTS</t>
  </si>
  <si>
    <t xml:space="preserve">EXAMPLE OF COMMAND</t>
  </si>
  <si>
    <t xml:space="preserve">EXAMPLE OF RESPONSE</t>
  </si>
  <si>
    <t xml:space="preserve">PROPERTY</t>
  </si>
  <si>
    <t xml:space="preserve">Notes</t>
  </si>
  <si>
    <t xml:space="preserve">000</t>
  </si>
  <si>
    <t xml:space="preserve">NUL</t>
  </si>
  <si>
    <t xml:space="preserve">00</t>
  </si>
  <si>
    <t xml:space="preserve">001</t>
  </si>
  <si>
    <t xml:space="preserve">SOH</t>
  </si>
  <si>
    <t xml:space="preserve">01</t>
  </si>
  <si>
    <t xml:space="preserve">002</t>
  </si>
  <si>
    <t xml:space="preserve">STX</t>
  </si>
  <si>
    <t xml:space="preserve">02</t>
  </si>
  <si>
    <t xml:space="preserve">003</t>
  </si>
  <si>
    <t xml:space="preserve">ETX</t>
  </si>
  <si>
    <t xml:space="preserve">03</t>
  </si>
  <si>
    <t xml:space="preserve">004</t>
  </si>
  <si>
    <t xml:space="preserve">EOT</t>
  </si>
  <si>
    <t xml:space="preserve">04</t>
  </si>
  <si>
    <t xml:space="preserve">005</t>
  </si>
  <si>
    <t xml:space="preserve">ENQ</t>
  </si>
  <si>
    <t xml:space="preserve">05</t>
  </si>
  <si>
    <t xml:space="preserve">006</t>
  </si>
  <si>
    <t xml:space="preserve">ACK</t>
  </si>
  <si>
    <t xml:space="preserve">06</t>
  </si>
  <si>
    <t xml:space="preserve">007</t>
  </si>
  <si>
    <t xml:space="preserve">BEL</t>
  </si>
  <si>
    <t xml:space="preserve">07</t>
  </si>
  <si>
    <t xml:space="preserve">008</t>
  </si>
  <si>
    <t xml:space="preserve">BS</t>
  </si>
  <si>
    <t xml:space="preserve">08</t>
  </si>
  <si>
    <t xml:space="preserve">009</t>
  </si>
  <si>
    <t xml:space="preserve">HT</t>
  </si>
  <si>
    <t xml:space="preserve">09</t>
  </si>
  <si>
    <t xml:space="preserve">010</t>
  </si>
  <si>
    <t xml:space="preserve">LF</t>
  </si>
  <si>
    <t xml:space="preserve">0A</t>
  </si>
  <si>
    <t xml:space="preserve">011</t>
  </si>
  <si>
    <t xml:space="preserve">VT</t>
  </si>
  <si>
    <t xml:space="preserve">0B</t>
  </si>
  <si>
    <t xml:space="preserve">012</t>
  </si>
  <si>
    <t xml:space="preserve">FF</t>
  </si>
  <si>
    <t xml:space="preserve">0C</t>
  </si>
  <si>
    <t xml:space="preserve">013</t>
  </si>
  <si>
    <t xml:space="preserve">CR</t>
  </si>
  <si>
    <t xml:space="preserve">0D</t>
  </si>
  <si>
    <t xml:space="preserve">014</t>
  </si>
  <si>
    <t xml:space="preserve">SO</t>
  </si>
  <si>
    <t xml:space="preserve">0E</t>
  </si>
  <si>
    <t xml:space="preserve">015</t>
  </si>
  <si>
    <t xml:space="preserve">SI</t>
  </si>
  <si>
    <t xml:space="preserve">0F</t>
  </si>
  <si>
    <t xml:space="preserve">016</t>
  </si>
  <si>
    <t xml:space="preserve">DLE</t>
  </si>
  <si>
    <t xml:space="preserve">017</t>
  </si>
  <si>
    <t xml:space="preserve">DC1</t>
  </si>
  <si>
    <t xml:space="preserve">018</t>
  </si>
  <si>
    <t xml:space="preserve">DC2</t>
  </si>
  <si>
    <t xml:space="preserve">019</t>
  </si>
  <si>
    <t xml:space="preserve">DC3</t>
  </si>
  <si>
    <t xml:space="preserve">020</t>
  </si>
  <si>
    <t xml:space="preserve">DC4</t>
  </si>
  <si>
    <t xml:space="preserve">021</t>
  </si>
  <si>
    <t xml:space="preserve">NAK</t>
  </si>
  <si>
    <t xml:space="preserve">022</t>
  </si>
  <si>
    <t xml:space="preserve">SYN</t>
  </si>
  <si>
    <t xml:space="preserve">023</t>
  </si>
  <si>
    <t xml:space="preserve">ETB</t>
  </si>
  <si>
    <t xml:space="preserve">024</t>
  </si>
  <si>
    <t xml:space="preserve">CAN</t>
  </si>
  <si>
    <t xml:space="preserve">025</t>
  </si>
  <si>
    <t xml:space="preserve">EM</t>
  </si>
  <si>
    <t xml:space="preserve">026</t>
  </si>
  <si>
    <t xml:space="preserve">SUB</t>
  </si>
  <si>
    <t xml:space="preserve">1A</t>
  </si>
  <si>
    <t xml:space="preserve">027</t>
  </si>
  <si>
    <t xml:space="preserve">ESC</t>
  </si>
  <si>
    <t xml:space="preserve">1B</t>
  </si>
  <si>
    <t xml:space="preserve">028</t>
  </si>
  <si>
    <t xml:space="preserve">FS</t>
  </si>
  <si>
    <t xml:space="preserve">1C</t>
  </si>
  <si>
    <t xml:space="preserve">029</t>
  </si>
  <si>
    <t xml:space="preserve">GS</t>
  </si>
  <si>
    <t xml:space="preserve">1D</t>
  </si>
  <si>
    <t xml:space="preserve">030</t>
  </si>
  <si>
    <t xml:space="preserve">RS</t>
  </si>
  <si>
    <t xml:space="preserve">1E</t>
  </si>
  <si>
    <t xml:space="preserve">031</t>
  </si>
  <si>
    <t xml:space="preserve">US</t>
  </si>
  <si>
    <t xml:space="preserve">1F</t>
  </si>
  <si>
    <t xml:space="preserve">032</t>
  </si>
  <si>
    <t xml:space="preserve">SP</t>
  </si>
  <si>
    <t xml:space="preserve">033</t>
  </si>
  <si>
    <t xml:space="preserve">!</t>
  </si>
  <si>
    <t xml:space="preserve">034</t>
  </si>
  <si>
    <t xml:space="preserve">"</t>
  </si>
  <si>
    <t xml:space="preserve">035</t>
  </si>
  <si>
    <t xml:space="preserve">#</t>
  </si>
  <si>
    <t xml:space="preserve">036</t>
  </si>
  <si>
    <t xml:space="preserve">$</t>
  </si>
  <si>
    <t xml:space="preserve">037</t>
  </si>
  <si>
    <t xml:space="preserve">%</t>
  </si>
  <si>
    <t xml:space="preserve">038</t>
  </si>
  <si>
    <t xml:space="preserve">&amp;</t>
  </si>
  <si>
    <t xml:space="preserve">039</t>
  </si>
  <si>
    <t xml:space="preserve">'</t>
  </si>
  <si>
    <t xml:space="preserve">040</t>
  </si>
  <si>
    <t xml:space="preserve">(</t>
  </si>
  <si>
    <t xml:space="preserve">041</t>
  </si>
  <si>
    <t xml:space="preserve">)</t>
  </si>
  <si>
    <t xml:space="preserve">042</t>
  </si>
  <si>
    <t xml:space="preserve">*</t>
  </si>
  <si>
    <t xml:space="preserve">2A</t>
  </si>
  <si>
    <t xml:space="preserve">+</t>
  </si>
  <si>
    <t xml:space="preserve">2B</t>
  </si>
  <si>
    <t xml:space="preserve">044</t>
  </si>
  <si>
    <t xml:space="preserve">,</t>
  </si>
  <si>
    <t xml:space="preserve">2C</t>
  </si>
  <si>
    <t xml:space="preserve">045</t>
  </si>
  <si>
    <t xml:space="preserve">-</t>
  </si>
  <si>
    <t xml:space="preserve">2D</t>
  </si>
  <si>
    <t xml:space="preserve">046</t>
  </si>
  <si>
    <t xml:space="preserve">.</t>
  </si>
  <si>
    <t xml:space="preserve">2E</t>
  </si>
  <si>
    <t xml:space="preserve">047</t>
  </si>
  <si>
    <t xml:space="preserve">\</t>
  </si>
  <si>
    <t xml:space="preserve">2F</t>
  </si>
  <si>
    <t xml:space="preserve">048</t>
  </si>
  <si>
    <t xml:space="preserve">049</t>
  </si>
  <si>
    <t xml:space="preserve">050</t>
  </si>
  <si>
    <t xml:space="preserve">051</t>
  </si>
  <si>
    <t xml:space="preserve">052</t>
  </si>
  <si>
    <t xml:space="preserve">053</t>
  </si>
  <si>
    <t xml:space="preserve">054</t>
  </si>
  <si>
    <t xml:space="preserve">055</t>
  </si>
  <si>
    <t xml:space="preserve">056</t>
  </si>
  <si>
    <t xml:space="preserve">057</t>
  </si>
  <si>
    <t xml:space="preserve">058</t>
  </si>
  <si>
    <t xml:space="preserve">:</t>
  </si>
  <si>
    <t xml:space="preserve">3A</t>
  </si>
  <si>
    <t xml:space="preserve">059</t>
  </si>
  <si>
    <t xml:space="preserve">;</t>
  </si>
  <si>
    <t xml:space="preserve">3B</t>
  </si>
  <si>
    <t xml:space="preserve">060</t>
  </si>
  <si>
    <t xml:space="preserve">&lt;</t>
  </si>
  <si>
    <t xml:space="preserve">3C</t>
  </si>
  <si>
    <t xml:space="preserve">061</t>
  </si>
  <si>
    <t xml:space="preserve">=</t>
  </si>
  <si>
    <t xml:space="preserve">3D</t>
  </si>
  <si>
    <t xml:space="preserve">062</t>
  </si>
  <si>
    <t xml:space="preserve">&gt;</t>
  </si>
  <si>
    <t xml:space="preserve">3E</t>
  </si>
  <si>
    <t xml:space="preserve">063</t>
  </si>
  <si>
    <t xml:space="preserve">?</t>
  </si>
  <si>
    <t xml:space="preserve">3F</t>
  </si>
  <si>
    <t xml:space="preserve">064</t>
  </si>
  <si>
    <t xml:space="preserve">@</t>
  </si>
  <si>
    <t xml:space="preserve">gets module type and software rev info</t>
  </si>
  <si>
    <t xml:space="preserve">$P01@b</t>
  </si>
  <si>
    <t xml:space="preserve">$APG02.23&gt;</t>
  </si>
  <si>
    <t xml:space="preserve">$@1</t>
  </si>
  <si>
    <t xml:space="preserve">AnsiString Pumps[X]-&gt;ModuleVersion</t>
  </si>
  <si>
    <t xml:space="preserve">Checksum failure analysis</t>
  </si>
  <si>
    <t xml:space="preserve">Y</t>
  </si>
  <si>
    <t xml:space="preserve">065</t>
  </si>
  <si>
    <t xml:space="preserve">A</t>
  </si>
  <si>
    <t xml:space="preserve">0-1, ?</t>
  </si>
  <si>
    <t xml:space="preserve">pump OFF/ON, status</t>
  </si>
  <si>
    <t xml:space="preserve">$P01A1S</t>
  </si>
  <si>
    <t xml:space="preserve">$A0</t>
  </si>
  <si>
    <t xml:space="preserve">bool Pumps[X]-&gt;PumpOn</t>
  </si>
  <si>
    <t xml:space="preserve">066</t>
  </si>
  <si>
    <t xml:space="preserve">B</t>
  </si>
  <si>
    <t xml:space="preserve">Pump TC OFF/ON, status</t>
  </si>
  <si>
    <t xml:space="preserve">$P01B?b</t>
  </si>
  <si>
    <t xml:space="preserve">$A0`</t>
  </si>
  <si>
    <t xml:space="preserve">Always on (read only)</t>
  </si>
  <si>
    <t xml:space="preserve">Customer should not be allowed to toggle the VacCG On/Off this could interfere with proper program process.</t>
  </si>
  <si>
    <t xml:space="preserve">067</t>
  </si>
  <si>
    <t xml:space="preserve">C</t>
  </si>
  <si>
    <t xml:space="preserve">AUX TC OFF/ON, status</t>
  </si>
  <si>
    <t xml:space="preserve">$P01C?c</t>
  </si>
  <si>
    <t xml:space="preserve">Always returns zero (read only)</t>
  </si>
  <si>
    <t xml:space="preserve">068</t>
  </si>
  <si>
    <t xml:space="preserve">D</t>
  </si>
  <si>
    <t xml:space="preserve">CLOSE/OPEN rough valve, status</t>
  </si>
  <si>
    <t xml:space="preserve">$P01D?d</t>
  </si>
  <si>
    <t xml:space="preserve">enum Pumps[X]-&gt;LastRoughPosition</t>
  </si>
  <si>
    <t xml:space="preserve">069</t>
  </si>
  <si>
    <t xml:space="preserve">E</t>
  </si>
  <si>
    <t xml:space="preserve">CLOSE/OPEN purge valve, status</t>
  </si>
  <si>
    <t xml:space="preserve">$P01E?e</t>
  </si>
  <si>
    <t xml:space="preserve">enum Pumps[X]-&gt;LastPurgePosition</t>
  </si>
  <si>
    <t xml:space="preserve">070</t>
  </si>
  <si>
    <t xml:space="preserve">F</t>
  </si>
  <si>
    <t xml:space="preserve">[unknown function;undocumented] Believed to turn 1st stage heater function on and off ???</t>
  </si>
  <si>
    <t xml:space="preserve">$P01F?f
$F1f</t>
  </si>
  <si>
    <t xml:space="preserve">$A0`
$A0</t>
  </si>
  <si>
    <t xml:space="preserve">071</t>
  </si>
  <si>
    <t xml:space="preserve">G</t>
  </si>
  <si>
    <t xml:space="preserve">[unknown function;undocumented]  Believed to turn 2nd stage heater function on and off ???</t>
  </si>
  <si>
    <t xml:space="preserve">$P01G?g
$G1i</t>
  </si>
  <si>
    <t xml:space="preserve">072</t>
  </si>
  <si>
    <t xml:space="preserve">H</t>
  </si>
  <si>
    <t xml:space="preserve">0-320, ?</t>
  </si>
  <si>
    <t xml:space="preserve">Sets temp control of 1st stage; 0 = "off"</t>
  </si>
  <si>
    <t xml:space="preserve">$P01H?h
$P01H80P</t>
  </si>
  <si>
    <t xml:space="preserve">$A+000065E
$A0</t>
  </si>
  <si>
    <t xml:space="preserve">double Pumps[X]-&gt;CoolingTemp (read only)</t>
  </si>
  <si>
    <t xml:space="preserve">Customer should not be allowed to change the preset first stage temperature setpoint.</t>
  </si>
  <si>
    <t xml:space="preserve">073</t>
  </si>
  <si>
    <t xml:space="preserve">I</t>
  </si>
  <si>
    <t xml:space="preserve">0-30, ?</t>
  </si>
  <si>
    <r>
      <rPr>
        <sz val="10"/>
        <rFont val="Arial"/>
        <family val="2"/>
        <charset val="1"/>
      </rPr>
      <t xml:space="preserve">Sets temp control of 2nd stage; 0= "off" -</t>
    </r>
    <r>
      <rPr>
        <b val="true"/>
        <sz val="12"/>
        <rFont val="Arial"/>
        <family val="2"/>
        <charset val="1"/>
      </rPr>
      <t xml:space="preserve">undocumented</t>
    </r>
  </si>
  <si>
    <t xml:space="preserve">$P01I?i
$P01I20M</t>
  </si>
  <si>
    <t xml:space="preserve">$A+000000&gt;
$A0</t>
  </si>
  <si>
    <t xml:space="preserve">Always returns '0' (read only)</t>
  </si>
  <si>
    <t xml:space="preserve">This is only used in emergency and cooldown conditions. Customer should not be allowed to change the preset second stage temperature setpoint.</t>
  </si>
  <si>
    <t xml:space="preserve">074</t>
  </si>
  <si>
    <t xml:space="preserve">J</t>
  </si>
  <si>
    <t xml:space="preserve">4A</t>
  </si>
  <si>
    <t xml:space="preserve">none</t>
  </si>
  <si>
    <t xml:space="preserve">sends back 1st stage temp</t>
  </si>
  <si>
    <t xml:space="preserve">$P01Jh</t>
  </si>
  <si>
    <t xml:space="preserve">$A+0295.1I</t>
  </si>
  <si>
    <t xml:space="preserve">double Pumps[X]-&gt;T1</t>
  </si>
  <si>
    <t xml:space="preserve">075</t>
  </si>
  <si>
    <t xml:space="preserve">K</t>
  </si>
  <si>
    <t xml:space="preserve">4B</t>
  </si>
  <si>
    <t xml:space="preserve">sends back 2nd stage temp</t>
  </si>
  <si>
    <t xml:space="preserve">$P01Ko</t>
  </si>
  <si>
    <t xml:space="preserve">$A+0294.7R</t>
  </si>
  <si>
    <t xml:space="preserve">double Pumps[X]-&gt;T2</t>
  </si>
  <si>
    <t xml:space="preserve">076</t>
  </si>
  <si>
    <t xml:space="preserve">L</t>
  </si>
  <si>
    <t xml:space="preserve">4C</t>
  </si>
  <si>
    <t xml:space="preserve">send back pump TC pressure</t>
  </si>
  <si>
    <t xml:space="preserve">$P01Ln</t>
  </si>
  <si>
    <t xml:space="preserve">$A+2840.3I</t>
  </si>
  <si>
    <t xml:space="preserve">double Pumps[X]-&gt;Torr</t>
  </si>
  <si>
    <t xml:space="preserve">077</t>
  </si>
  <si>
    <t xml:space="preserve">M</t>
  </si>
  <si>
    <t xml:space="preserve">4D</t>
  </si>
  <si>
    <t xml:space="preserve">send back AUX TC pressure</t>
  </si>
  <si>
    <t xml:space="preserve">$P01Mm</t>
  </si>
  <si>
    <t xml:space="preserve">$A+2757.9Z</t>
  </si>
  <si>
    <t xml:space="preserve">double Pumps[X]-&gt;Hz</t>
  </si>
  <si>
    <t xml:space="preserve">078</t>
  </si>
  <si>
    <t xml:space="preserve">N</t>
  </si>
  <si>
    <t xml:space="preserve">4E</t>
  </si>
  <si>
    <t xml:space="preserve">0-2</t>
  </si>
  <si>
    <t xml:space="preserve">0=abort, 1=start regen, 2=start fast regen</t>
  </si>
  <si>
    <t xml:space="preserve">$P01N1`
$N0o</t>
  </si>
  <si>
    <t xml:space="preserve">enum Pumps[X]-&gt;RunMode</t>
  </si>
  <si>
    <t xml:space="preserve">079</t>
  </si>
  <si>
    <t xml:space="preserve">O</t>
  </si>
  <si>
    <t xml:space="preserve">4F</t>
  </si>
  <si>
    <r>
      <rPr>
        <sz val="10"/>
        <rFont val="Arial"/>
        <family val="2"/>
        <charset val="1"/>
      </rPr>
      <t xml:space="preserve">sends back current regen step
</t>
    </r>
    <r>
      <rPr>
        <b val="true"/>
        <sz val="12"/>
        <rFont val="Arial"/>
        <family val="2"/>
        <charset val="1"/>
      </rPr>
      <t xml:space="preserve">SEE REGEN RESPONSE PAGE FOR DETAILS</t>
    </r>
  </si>
  <si>
    <t xml:space="preserve">$P01O0</t>
  </si>
  <si>
    <t xml:space="preserve">$A]L
( = pump in warm-up stage)</t>
  </si>
  <si>
    <t xml:space="preserve">if RunMode is in regeneration step returned is warmup 'B'. If RunMode is in rough step return is roughing 'I'. If RunMode is cooling step return is cooling 'M'.</t>
  </si>
  <si>
    <t xml:space="preserve">We can't cover all steps. If the customer's program watches the stepping of the regen response to control program flow this is a potential show stopper.</t>
  </si>
  <si>
    <t xml:space="preserve">080</t>
  </si>
  <si>
    <t xml:space="preserve">P</t>
  </si>
  <si>
    <t xml:space="preserve">0-6,A,G,S, 5-digit number, ?</t>
  </si>
  <si>
    <t xml:space="preserve">sets or reads regen parameters
0=pump restart delay, 0-59994 min
1=extended purge time, 0-9999 min
2=repurge cycles, 0-20
3=rough base pressure, 25-500 microns
4=rate of rise, 1-100 micron/min
5=ROR cycles, 0-40
6=power fail recover temp, 0-80 K
A=clear/set rough valve interlock, 0-1
G=repurge time, 0-9999 min
S=fast rough test, 10-999 micron</t>
  </si>
  <si>
    <t xml:space="preserve">$P01P130G
$P01P1?`</t>
  </si>
  <si>
    <t xml:space="preserve">$A0
$A+30&lt;</t>
  </si>
  <si>
    <t xml:space="preserve">$P030002
$P130W
$P220W
$P350[
$P410V
$P520T
$P625^
$PA11
$PA02
$PG5?
</t>
  </si>
  <si>
    <t xml:space="preserve">struct Pumps[X]-&gt;RegenParams {0=Restart delay to TDateTime up to 40 days delay TDateTime Pumps[X]-&gt;RestartDelay,1=int ExtPurgeTime,2=Return 0 (read only),3=double Pumps[X]-&gt;MinRunPres*100,4=Return 0(read only),5=Return 0(read only),6=double Pumps[X]-&gt;T2MinRunTemp (read only),A=bool Pumps[X}-&gt;RoughInterlock, G=return 0(read only), S=return 999 (read only)}</t>
  </si>
  <si>
    <t xml:space="preserve">We don't cover all these with our system and the ones we don't support are read only values</t>
  </si>
  <si>
    <t xml:space="preserve">081</t>
  </si>
  <si>
    <t xml:space="preserve">Q</t>
  </si>
  <si>
    <t xml:space="preserve">none, ?</t>
  </si>
  <si>
    <t xml:space="preserve">Rough valve interlock; 
Bit 0 ON(1): pump has token; 
Bit 1 ON(2): pump needs token;
Bit 2 ON(4): pump is ON for auto-compressor on.  Values 0-7 OK. 
Fast regen pumps add Bit 3 always ON(8) to alert for 2nd byte:  Then values 8-F are OK for 1st character, 0-1 for 2nd.  Bit 0 ON(1)= pump needs rough valve for shared Fast regen. </t>
  </si>
  <si>
    <t xml:space="preserve">$P01Q?0
$Q@
$Q?B</t>
  </si>
  <si>
    <t xml:space="preserve">$A80[
$A0
$A90X</t>
  </si>
  <si>
    <t xml:space="preserve">$Q@
$Q?B</t>
  </si>
  <si>
    <t xml:space="preserve">Test Pumps[X]-&gt;LastRoughPosition to determine bit 0.  Test Pumps[X]-&gt;WaitingRough to detemine bit 1. Bit 2 is always true and Bit 3 is always true. Bit 0 of the second byte in our system is always false. We don't share the rough pump for fast regenerations.</t>
  </si>
  <si>
    <t xml:space="preserve">082</t>
  </si>
  <si>
    <t xml:space="preserve">R</t>
  </si>
  <si>
    <t xml:space="preserve">0-3</t>
  </si>
  <si>
    <t xml:space="preserve">UNDOCUMENTED
R0=pump TC volts, R1= Aux TC volts
R2=T1 volts, R3=T2 volts</t>
  </si>
  <si>
    <t xml:space="preserve">$R11
$R26
$R37</t>
  </si>
  <si>
    <t xml:space="preserve">$-00.029E
$A+2.1474N
$A+2.1474N</t>
  </si>
  <si>
    <t xml:space="preserve">083</t>
  </si>
  <si>
    <t xml:space="preserve">S</t>
  </si>
  <si>
    <t xml:space="preserve">1-3</t>
  </si>
  <si>
    <t xml:space="preserve">Sends back status indicators
Status 1
01H=pump ON
02H=rough valve ON
04H=purge valve ON
08H=cryo TC ON
10H=Aux TC ON
20H=power fail status;
0=power fail occurred, bit reset to 1 after first S1 query and $B response resets to $A.
Status 2
01H = Setpoint 1 ON
02H = Setpoint 2 ON
08H = 1st stage temp control ON
Status 3
01H = Pump phase 1 check
02H = Pump phase 2 check</t>
  </si>
  <si>
    <t xml:space="preserve">$S16</t>
  </si>
  <si>
    <t xml:space="preserve">$AdW, $A`S
$AH;
$AD7</t>
  </si>
  <si>
    <t xml:space="preserve">Pump On Found with Pumps[X]-&gt;PumpOn; Rough Valve found with Pumps[X]-&gt;LastRoughPosition; Purge Valve found with Pumps[X]-&gt;LastPurgePosition, CryoTC is always on, AuxTC is always off, PowerFailure status (how to determine this?), Setpoint 1 &amp; 2 determined by Pumps[X]-&gt;ControlPoint, 1st Stage temp control on always true; Status 3 Phase 1 and 2 always good.</t>
  </si>
  <si>
    <t xml:space="preserve">We don't have AuxTC.</t>
  </si>
  <si>
    <t xml:space="preserve">084</t>
  </si>
  <si>
    <t xml:space="preserve">T</t>
  </si>
  <si>
    <t xml:space="preserve">1-2
0-8,ABCF
4 digit number
?,0,1,2,8</t>
  </si>
  <si>
    <t xml:space="preserve">Programs setpoint relay 1 or 2
sets or reads values
0=set 1st stage LL, 0-9999 K
1=set 1st stage UL, 0-9999 K
2=set 2nd stage LL, 0-9999 K
3=set 2nd stage UL, 0-9999 K
4=set pump TC LL, 0-9999 microns
5=set pump TC UL, 0-9999 microns
6=set Aux TC LL, 0-9999 microns
7=set Aux TC UL, 0-9999 microns
8=set time relay, 0-9999 seconds
A=set unconditional ON
B=set unconditional OFF
C=set as Regen tracking relay (ON during regen)
D=set as rough valve tracking relay
F=set as pump motor ON/OFF tracking relay
Selector meaning for query form
0=query previously set LL
1=query previously set UL
4=query last sent form selectro for relay function
8=query relay time delay</t>
  </si>
  <si>
    <t xml:space="preserve">$P01T10300j
$P01T1?0W
$P01T18987F
$P01T1?8_</t>
  </si>
  <si>
    <t xml:space="preserve">$A0
$A+000300=
$A0
$A+000987V</t>
  </si>
  <si>
    <r>
      <rPr>
        <b val="true"/>
        <sz val="10"/>
        <rFont val="Arial"/>
        <family val="2"/>
        <charset val="1"/>
      </rPr>
      <t xml:space="preserve">{All Pumps[X]} int </t>
    </r>
    <r>
      <rPr>
        <sz val="10"/>
        <rFont val="Arial"/>
        <family val="2"/>
        <charset val="1"/>
      </rPr>
      <t xml:space="preserve">Relay1LoSetpnt</t>
    </r>
    <r>
      <rPr>
        <b val="true"/>
        <sz val="10"/>
        <rFont val="Arial"/>
        <family val="2"/>
        <charset val="1"/>
      </rPr>
      <t xml:space="preserve"> int </t>
    </r>
    <r>
      <rPr>
        <sz val="10"/>
        <rFont val="Arial"/>
        <family val="2"/>
        <charset val="1"/>
      </rPr>
      <t xml:space="preserve">Relay1HiSetpnt </t>
    </r>
    <r>
      <rPr>
        <b val="true"/>
        <sz val="10"/>
        <rFont val="Arial"/>
        <family val="2"/>
        <charset val="1"/>
      </rPr>
      <t xml:space="preserve">int</t>
    </r>
    <r>
      <rPr>
        <sz val="10"/>
        <rFont val="Arial"/>
        <family val="2"/>
        <charset val="1"/>
      </rPr>
      <t xml:space="preserve"> Relay2LoSetpnt </t>
    </r>
    <r>
      <rPr>
        <b val="true"/>
        <sz val="10"/>
        <rFont val="Arial"/>
        <family val="2"/>
        <charset val="1"/>
      </rPr>
      <t xml:space="preserve">int </t>
    </r>
    <r>
      <rPr>
        <sz val="10"/>
        <rFont val="Arial"/>
        <family val="2"/>
        <charset val="1"/>
      </rPr>
      <t xml:space="preserve">Relay2HiSetpnt </t>
    </r>
    <r>
      <rPr>
        <b val="true"/>
        <sz val="10"/>
        <rFont val="Arial"/>
        <family val="2"/>
        <charset val="1"/>
      </rPr>
      <t xml:space="preserve">TDateTime </t>
    </r>
    <r>
      <rPr>
        <sz val="10"/>
        <rFont val="Arial"/>
        <family val="2"/>
        <charset val="1"/>
      </rPr>
      <t xml:space="preserve">Relay1TimeDelay </t>
    </r>
    <r>
      <rPr>
        <b val="true"/>
        <sz val="10"/>
        <rFont val="Arial"/>
        <family val="2"/>
        <charset val="1"/>
      </rPr>
      <t xml:space="preserve">TDateTime </t>
    </r>
    <r>
      <rPr>
        <sz val="10"/>
        <rFont val="Arial"/>
        <family val="2"/>
        <charset val="1"/>
      </rPr>
      <t xml:space="preserve">Relay2TimeDelay </t>
    </r>
    <r>
      <rPr>
        <b val="true"/>
        <sz val="10"/>
        <rFont val="Arial"/>
        <family val="2"/>
        <charset val="1"/>
      </rPr>
      <t xml:space="preserve">bool </t>
    </r>
    <r>
      <rPr>
        <sz val="10"/>
        <rFont val="Arial"/>
        <family val="2"/>
        <charset val="1"/>
      </rPr>
      <t xml:space="preserve">Relay1Auto </t>
    </r>
    <r>
      <rPr>
        <b val="true"/>
        <sz val="10"/>
        <rFont val="Arial"/>
        <family val="2"/>
        <charset val="1"/>
      </rPr>
      <t xml:space="preserve">bool</t>
    </r>
    <r>
      <rPr>
        <sz val="10"/>
        <rFont val="Arial"/>
        <family val="2"/>
        <charset val="1"/>
      </rPr>
      <t xml:space="preserve"> Relay2Auto </t>
    </r>
    <r>
      <rPr>
        <b val="true"/>
        <sz val="10"/>
        <rFont val="Arial"/>
        <family val="2"/>
        <charset val="1"/>
      </rPr>
      <t xml:space="preserve">enum</t>
    </r>
    <r>
      <rPr>
        <sz val="10"/>
        <rFont val="Arial"/>
        <family val="2"/>
        <charset val="1"/>
      </rPr>
      <t xml:space="preserve"> Relay1Control </t>
    </r>
    <r>
      <rPr>
        <b val="true"/>
        <sz val="10"/>
        <rFont val="Arial"/>
        <family val="2"/>
        <charset val="1"/>
      </rPr>
      <t xml:space="preserve">enum</t>
    </r>
    <r>
      <rPr>
        <sz val="10"/>
        <rFont val="Arial"/>
        <family val="2"/>
        <charset val="1"/>
      </rPr>
      <t xml:space="preserve"> Relay2Control</t>
    </r>
  </si>
  <si>
    <t xml:space="preserve">085</t>
  </si>
  <si>
    <t xml:space="preserve">U</t>
  </si>
  <si>
    <t xml:space="preserve">1-9, ?</t>
  </si>
  <si>
    <t xml:space="preserve">gets or writes diode millivolts vs temperature
U1 is coldest temp, U9 is warmest.
Temps are 11, 15, 17, 19, 21, 25, 45, 77.4, 290K.  Range is ~1400mV at 11K to ~390mV at 290K.</t>
  </si>
  <si>
    <t xml:space="preserve">$U9?&gt;
$U113981&gt;
$U1?6</t>
  </si>
  <si>
    <t xml:space="preserve">$A+3906n
$A0
$A+13981c</t>
  </si>
  <si>
    <t xml:space="preserve">086</t>
  </si>
  <si>
    <t xml:space="preserve">V</t>
  </si>
  <si>
    <t xml:space="preserve">A?, Q?
A,Q
D, D?
C, C?</t>
  </si>
  <si>
    <t xml:space="preserve">VA? gets 1st 8 characters of pump serial #.
VQ? Gets remaining 3 characters of pump serial #
A,Q set serial number (8 char each)
sets, gets pump name
[may set, get 1st stage diode serial number]</t>
  </si>
  <si>
    <t xml:space="preserve">$P01VANE963750I
$P01VQ4&gt;
$P01VA?
$P01VQ?E
$P01VD?8
$VC?K</t>
  </si>
  <si>
    <t xml:space="preserve">$A0
$A0
$ANE963750B
$A4       D
$AAPD-02 V
$AD0033255T</t>
  </si>
  <si>
    <r>
      <rPr>
        <b val="true"/>
        <sz val="10"/>
        <rFont val="Arial"/>
        <family val="2"/>
        <charset val="1"/>
      </rPr>
      <t xml:space="preserve">AnsiString </t>
    </r>
    <r>
      <rPr>
        <sz val="10"/>
        <rFont val="Arial"/>
        <family val="2"/>
        <charset val="1"/>
      </rPr>
      <t xml:space="preserve">Pumps[X]-&gt;RomID Strip the first 3 characters and last 2 characters. This is the total 11 character serial number.</t>
    </r>
  </si>
  <si>
    <t xml:space="preserve">087</t>
  </si>
  <si>
    <t xml:space="preserve">W</t>
  </si>
  <si>
    <t xml:space="preserve">Gets memory error code from initialization
@=no errors
Bit 0=diode data
Bit 1=regen parameters
Bit 2=history data</t>
  </si>
  <si>
    <t xml:space="preserve">$P01W8</t>
  </si>
  <si>
    <t xml:space="preserve">$A@3</t>
  </si>
  <si>
    <t xml:space="preserve">Always returns okay '@'</t>
  </si>
  <si>
    <t xml:space="preserve">We don't have diode data in memory or regen parameters or historical data. Any items in memory are safeguarded. Or would inhibit the program from operation.</t>
  </si>
  <si>
    <t xml:space="preserve">088</t>
  </si>
  <si>
    <t xml:space="preserve">X</t>
  </si>
  <si>
    <t xml:space="preserve">unknown.  No response to $X, $X?, or $X1?</t>
  </si>
  <si>
    <t xml:space="preserve">089</t>
  </si>
  <si>
    <t xml:space="preserve">?, 0-65535</t>
  </si>
  <si>
    <t xml:space="preserve">gets  or sets elapsed operating hours, 0-65535</t>
  </si>
  <si>
    <t xml:space="preserve">$P01Y?8
$P01Y0j
$P01Y?8</t>
  </si>
  <si>
    <t xml:space="preserve">$A+002330F
$A0
$A+000000&gt;</t>
  </si>
  <si>
    <r>
      <rPr>
        <b val="true"/>
        <sz val="10"/>
        <rFont val="Arial"/>
        <family val="2"/>
        <charset val="1"/>
      </rPr>
      <t xml:space="preserve">double </t>
    </r>
    <r>
      <rPr>
        <sz val="10"/>
        <rFont val="Arial"/>
        <family val="2"/>
        <charset val="1"/>
      </rPr>
      <t xml:space="preserve">Pumps[X]-&gt;ElapsedOperatingTime </t>
    </r>
    <r>
      <rPr>
        <b val="true"/>
        <sz val="10"/>
        <rFont val="Arial"/>
        <family val="2"/>
        <charset val="1"/>
      </rPr>
      <t xml:space="preserve">(read only)</t>
    </r>
  </si>
  <si>
    <t xml:space="preserve">Customer should not be allowed to touch the operating hours count. This is a warranty issue.</t>
  </si>
  <si>
    <t xml:space="preserve">090</t>
  </si>
  <si>
    <t xml:space="preserve">Z</t>
  </si>
  <si>
    <t xml:space="preserve">5A</t>
  </si>
  <si>
    <t xml:space="preserve">?,0-999</t>
  </si>
  <si>
    <t xml:space="preserve">gets (or sets )number of Regen cycles completed</t>
  </si>
  <si>
    <t xml:space="preserve">$P01Z?;</t>
  </si>
  <si>
    <t xml:space="preserve">$A+36F</t>
  </si>
  <si>
    <r>
      <rPr>
        <b val="true"/>
        <sz val="10"/>
        <rFont val="Arial"/>
        <family val="2"/>
        <charset val="1"/>
      </rPr>
      <t xml:space="preserve">int</t>
    </r>
    <r>
      <rPr>
        <sz val="10"/>
        <rFont val="Arial"/>
        <family val="2"/>
        <charset val="1"/>
      </rPr>
      <t xml:space="preserve"> Pumps[X]-&gt;RegenCyclesCompleted </t>
    </r>
    <r>
      <rPr>
        <b val="true"/>
        <sz val="10"/>
        <rFont val="Arial"/>
        <family val="2"/>
        <charset val="1"/>
      </rPr>
      <t xml:space="preserve">(read only)</t>
    </r>
  </si>
  <si>
    <t xml:space="preserve">Customer should have no need to touch this variable.</t>
  </si>
  <si>
    <t xml:space="preserve">091</t>
  </si>
  <si>
    <t xml:space="preserve">[</t>
  </si>
  <si>
    <t xml:space="preserve">5B</t>
  </si>
  <si>
    <t xml:space="preserve">B1,B2</t>
  </si>
  <si>
    <t xml:space="preserve">restore relays to automatic settings from manual override mode</t>
  </si>
  <si>
    <t xml:space="preserve">$P01[B1n</t>
  </si>
  <si>
    <t xml:space="preserve">Link to write Relay1Control, Relay2Control bool</t>
  </si>
  <si>
    <t xml:space="preserve">092</t>
  </si>
  <si>
    <t xml:space="preserve">5C</t>
  </si>
  <si>
    <t xml:space="preserve">093</t>
  </si>
  <si>
    <t xml:space="preserve">]</t>
  </si>
  <si>
    <t xml:space="preserve">5D</t>
  </si>
  <si>
    <t xml:space="preserve">094</t>
  </si>
  <si>
    <t xml:space="preserve">^</t>
  </si>
  <si>
    <t xml:space="preserve">5E</t>
  </si>
  <si>
    <t xml:space="preserve">095</t>
  </si>
  <si>
    <t xml:space="preserve">_</t>
  </si>
  <si>
    <t xml:space="preserve">5F</t>
  </si>
  <si>
    <t xml:space="preserve">096</t>
  </si>
  <si>
    <t xml:space="preserve">`</t>
  </si>
  <si>
    <t xml:space="preserve">097</t>
  </si>
  <si>
    <t xml:space="preserve">a</t>
  </si>
  <si>
    <t xml:space="preserve">none  or 2</t>
  </si>
  <si>
    <t xml:space="preserve">a=how long since last full regen (0-65000)
a2=how long since last fast regen (in hours)</t>
  </si>
  <si>
    <t xml:space="preserve">$P01aB
$P01a25</t>
  </si>
  <si>
    <t xml:space="preserve">$A+18F
$A+18F</t>
  </si>
  <si>
    <r>
      <rPr>
        <b val="true"/>
        <sz val="10"/>
        <rFont val="Arial"/>
        <family val="2"/>
        <charset val="1"/>
      </rPr>
      <t xml:space="preserve">TDateTime</t>
    </r>
    <r>
      <rPr>
        <sz val="10"/>
        <rFont val="Arial"/>
        <family val="2"/>
        <charset val="1"/>
      </rPr>
      <t xml:space="preserve"> Pumps[X]-&gt;LastFastRegen </t>
    </r>
    <r>
      <rPr>
        <b val="true"/>
        <sz val="10"/>
        <rFont val="Arial"/>
        <family val="2"/>
        <charset val="1"/>
      </rPr>
      <t xml:space="preserve">TDateTime</t>
    </r>
    <r>
      <rPr>
        <sz val="10"/>
        <rFont val="Arial"/>
        <family val="2"/>
        <charset val="1"/>
      </rPr>
      <t xml:space="preserve"> Pumps[X]-&gt;LastFullRegen</t>
    </r>
  </si>
  <si>
    <t xml:space="preserve">098</t>
  </si>
  <si>
    <t xml:space="preserve">b</t>
  </si>
  <si>
    <t xml:space="preserve">?, [0-12] [1-20]
plus [0-120] [20 or 22]
and [0-130] [21 or 23]</t>
  </si>
  <si>
    <t xml:space="preserve">Gets or writes regen history</t>
  </si>
  <si>
    <t xml:space="preserve">$b?S</t>
  </si>
  <si>
    <t xml:space="preserve">$A+9 +1Q</t>
  </si>
  <si>
    <t xml:space="preserve">099</t>
  </si>
  <si>
    <t xml:space="preserve">c</t>
  </si>
  <si>
    <t xml:space="preserve">Gets part of regen history.  Gets value with each call.  Cycles through 10 registers.</t>
  </si>
  <si>
    <t xml:space="preserve">$cR</t>
  </si>
  <si>
    <t xml:space="preserve">$A+4202</t>
  </si>
  <si>
    <t xml:space="preserve">100</t>
  </si>
  <si>
    <t xml:space="preserve">d</t>
  </si>
  <si>
    <t xml:space="preserve">ERASES ALL REGEN HISTORY!!!
DO NOT SEND THIS COMMAND!!!</t>
  </si>
  <si>
    <t xml:space="preserve">$dU</t>
  </si>
  <si>
    <t xml:space="preserve">101</t>
  </si>
  <si>
    <t xml:space="preserve">e</t>
  </si>
  <si>
    <t xml:space="preserve">gets one character with regen error code
Use only after getting V in regen response
@=no error
B=warmup &gt;60 minutes
C=cooldown &gt;5 hours
D=roughing dP/dt &lt; 2%/minute
E=# of ROR cycles exceeded limit
F=manual abort
G=rough valve open &gt;1 hour
H=illegal state, software bug
I=pump too warm to start Fast regen
I*=pump not cooled to &lt;50K, FastRegen not allowed
J=2nd stage too cold to rough</t>
  </si>
  <si>
    <t xml:space="preserve">$P01eF</t>
  </si>
  <si>
    <t xml:space="preserve">$A@3, $AF5</t>
  </si>
  <si>
    <r>
      <rPr>
        <b val="true"/>
        <sz val="10"/>
        <rFont val="Arial"/>
        <family val="2"/>
        <charset val="1"/>
      </rPr>
      <t xml:space="preserve">enum </t>
    </r>
    <r>
      <rPr>
        <sz val="10"/>
        <rFont val="Arial"/>
        <family val="2"/>
        <charset val="1"/>
      </rPr>
      <t xml:space="preserve">Pumps[X]-&gt;RegenErrorCode Possible responses: '@', 'B', 'C', 'F', 'G', 'I'</t>
    </r>
  </si>
  <si>
    <t xml:space="preserve">We don't have all these items.</t>
  </si>
  <si>
    <t xml:space="preserve">102</t>
  </si>
  <si>
    <t xml:space="preserve">f</t>
  </si>
  <si>
    <t xml:space="preserve">1,2</t>
  </si>
  <si>
    <t xml:space="preserve">unknown.  Gets data</t>
  </si>
  <si>
    <t xml:space="preserve">$f1E
$f2J</t>
  </si>
  <si>
    <t xml:space="preserve">$A+0N
$A+0N</t>
  </si>
  <si>
    <t xml:space="preserve">103</t>
  </si>
  <si>
    <t xml:space="preserve">g</t>
  </si>
  <si>
    <t xml:space="preserve">autozero pump TC gauge</t>
  </si>
  <si>
    <t xml:space="preserve">P01gH</t>
  </si>
  <si>
    <t xml:space="preserve">$G6</t>
  </si>
  <si>
    <t xml:space="preserve">Don't allow customer to do return error</t>
  </si>
  <si>
    <t xml:space="preserve">Customer shouldn't be allowed to touch calibration of the VacCG</t>
  </si>
  <si>
    <t xml:space="preserve">104</t>
  </si>
  <si>
    <t xml:space="preserve">h</t>
  </si>
  <si>
    <t xml:space="preserve">autozero Aux TC gauge</t>
  </si>
  <si>
    <t xml:space="preserve">P01hI</t>
  </si>
  <si>
    <t xml:space="preserve">Don't have</t>
  </si>
  <si>
    <t xml:space="preserve">We don’t have.</t>
  </si>
  <si>
    <t xml:space="preserve">105</t>
  </si>
  <si>
    <t xml:space="preserve">i</t>
  </si>
  <si>
    <t xml:space="preserve">0,1,2,?</t>
  </si>
  <si>
    <t xml:space="preserve">clear/set/query Power Fail Recovery flag
0=PFR is OFF
1=PFR is ON
2=PFR when T2&lt; limit is ON
?=gets PFR status</t>
  </si>
  <si>
    <t xml:space="preserve">$P01i?H</t>
  </si>
  <si>
    <t xml:space="preserve">$i0K
$i1H
$i2I
$I?:</t>
  </si>
  <si>
    <t xml:space="preserve">enum Pumps[X]-&gt;PowerFailRecoveryType</t>
  </si>
  <si>
    <t xml:space="preserve">106</t>
  </si>
  <si>
    <t xml:space="preserve">j</t>
  </si>
  <si>
    <t xml:space="preserve">6A</t>
  </si>
  <si>
    <t xml:space="preserve">0-59994,?</t>
  </si>
  <si>
    <t xml:space="preserve">set or get pump delay to start of regen</t>
  </si>
  <si>
    <t xml:space="preserve">$P01j30o
$P01j?K</t>
  </si>
  <si>
    <r>
      <rPr>
        <b val="true"/>
        <sz val="10"/>
        <rFont val="Arial"/>
        <family val="2"/>
        <charset val="1"/>
      </rPr>
      <t xml:space="preserve">TDateTime </t>
    </r>
    <r>
      <rPr>
        <sz val="10"/>
        <rFont val="Arial"/>
        <family val="2"/>
        <charset val="1"/>
      </rPr>
      <t xml:space="preserve">Pumps[X]-&gt; RegenStartDelay</t>
    </r>
  </si>
  <si>
    <t xml:space="preserve">107</t>
  </si>
  <si>
    <t xml:space="preserve">k</t>
  </si>
  <si>
    <t xml:space="preserve">6B</t>
  </si>
  <si>
    <t xml:space="preserve">gets time in minutes left in current step</t>
  </si>
  <si>
    <t xml:space="preserve">$P01kL</t>
  </si>
  <si>
    <t xml:space="preserve">$A+0N</t>
  </si>
  <si>
    <r>
      <rPr>
        <b val="true"/>
        <sz val="10"/>
        <rFont val="Arial"/>
        <family val="2"/>
        <charset val="1"/>
      </rPr>
      <t xml:space="preserve">TDateTime </t>
    </r>
    <r>
      <rPr>
        <sz val="10"/>
        <rFont val="Arial"/>
        <family val="2"/>
        <charset val="1"/>
      </rPr>
      <t xml:space="preserve">Pumps[X]-&gt;StepTimeRemaining</t>
    </r>
  </si>
  <si>
    <t xml:space="preserve">We don’t always have this.</t>
  </si>
  <si>
    <t xml:space="preserve">108</t>
  </si>
  <si>
    <t xml:space="preserve">l</t>
  </si>
  <si>
    <t xml:space="preserve">6C</t>
  </si>
  <si>
    <t xml:space="preserve">gets number of failed purge cycles</t>
  </si>
  <si>
    <t xml:space="preserve">$P01lM</t>
  </si>
  <si>
    <t xml:space="preserve">Always returns zero</t>
  </si>
  <si>
    <t xml:space="preserve">We don't have this.</t>
  </si>
  <si>
    <t xml:space="preserve">109</t>
  </si>
  <si>
    <t xml:space="preserve">m</t>
  </si>
  <si>
    <t xml:space="preserve">6D</t>
  </si>
  <si>
    <t xml:space="preserve">gets number of failed rate of rise cycles</t>
  </si>
  <si>
    <t xml:space="preserve">$P01mN</t>
  </si>
  <si>
    <t xml:space="preserve">110</t>
  </si>
  <si>
    <t xml:space="preserve">n</t>
  </si>
  <si>
    <t xml:space="preserve">6E</t>
  </si>
  <si>
    <t xml:space="preserve">gets last measured rate of rise, micron/min</t>
  </si>
  <si>
    <t xml:space="preserve">$P01nO</t>
  </si>
  <si>
    <t xml:space="preserve">111</t>
  </si>
  <si>
    <t xml:space="preserve">o</t>
  </si>
  <si>
    <t xml:space="preserve">6F</t>
  </si>
  <si>
    <t xml:space="preserve">0,1,?</t>
  </si>
  <si>
    <t xml:space="preserve">unknown function.  Toggles on/off.</t>
  </si>
  <si>
    <t xml:space="preserve">$o1R
$0?\</t>
  </si>
  <si>
    <t xml:space="preserve">$A0
$A1c</t>
  </si>
  <si>
    <t xml:space="preserve">112</t>
  </si>
  <si>
    <t xml:space="preserve">p</t>
  </si>
  <si>
    <t xml:space="preserve">70</t>
  </si>
  <si>
    <t xml:space="preserve">0-99, ?</t>
  </si>
  <si>
    <t xml:space="preserve">unknown function.  Reads or sets value 0-99</t>
  </si>
  <si>
    <t xml:space="preserve">$p?]
$p99M</t>
  </si>
  <si>
    <t xml:space="preserve">$A+56D
$A0</t>
  </si>
  <si>
    <t xml:space="preserve">113</t>
  </si>
  <si>
    <t xml:space="preserve">q</t>
  </si>
  <si>
    <t xml:space="preserve">71</t>
  </si>
  <si>
    <t xml:space="preserve">$q?R
$q60D</t>
  </si>
  <si>
    <t xml:space="preserve">$A+50B
$A0</t>
  </si>
  <si>
    <t xml:space="preserve">114</t>
  </si>
  <si>
    <t xml:space="preserve">r</t>
  </si>
  <si>
    <t xml:space="preserve">72</t>
  </si>
  <si>
    <t xml:space="preserve">P,X</t>
  </si>
  <si>
    <t xml:space="preserve">gets event count for autozero of TC gauges
rP=pump TC, rX=auxiliary;modulo 256 (0-255)</t>
  </si>
  <si>
    <t xml:space="preserve">$P01rPb</t>
  </si>
  <si>
    <t xml:space="preserve">115</t>
  </si>
  <si>
    <t xml:space="preserve">s</t>
  </si>
  <si>
    <t xml:space="preserve">73</t>
  </si>
  <si>
    <t xml:space="preserve">gets event count of regen cycles, mod 256</t>
  </si>
  <si>
    <t xml:space="preserve">$P01sT</t>
  </si>
  <si>
    <r>
      <rPr>
        <b val="true"/>
        <sz val="10"/>
        <rFont val="Arial"/>
        <family val="2"/>
        <charset val="1"/>
      </rPr>
      <t xml:space="preserve">int</t>
    </r>
    <r>
      <rPr>
        <sz val="10"/>
        <rFont val="Arial"/>
        <family val="2"/>
        <charset val="1"/>
      </rPr>
      <t xml:space="preserve"> Pumps[X]-&gt;RegenCycles </t>
    </r>
    <r>
      <rPr>
        <b val="true"/>
        <sz val="10"/>
        <rFont val="Arial"/>
        <family val="2"/>
        <charset val="1"/>
      </rPr>
      <t xml:space="preserve">return __int8</t>
    </r>
  </si>
  <si>
    <t xml:space="preserve">116</t>
  </si>
  <si>
    <t xml:space="preserve">t</t>
  </si>
  <si>
    <t xml:space="preserve">74</t>
  </si>
  <si>
    <t xml:space="preserve">?,=</t>
  </si>
  <si>
    <t xml:space="preserve">inquire or clear Power Failure Recovery flag.
0=no power failure
1=was in regen, now in cooldown
2=regeneration
3=pump on, in process to 17K
4=recovered from power failure
5=did not reach 17K in 20 min cooling, still on
6=above PFR temp setpoint, pump turned off</t>
  </si>
  <si>
    <t xml:space="preserve">$P01t?U
$P01t=S</t>
  </si>
  <si>
    <r>
      <rPr>
        <b val="true"/>
        <sz val="10"/>
        <rFont val="Arial"/>
        <family val="2"/>
        <charset val="1"/>
      </rPr>
      <t xml:space="preserve">enum</t>
    </r>
    <r>
      <rPr>
        <sz val="10"/>
        <rFont val="Arial"/>
        <family val="2"/>
        <charset val="1"/>
      </rPr>
      <t xml:space="preserve"> Pumps[X]-&gt;PowerFailureStatus</t>
    </r>
  </si>
  <si>
    <t xml:space="preserve">We don’t have all these results.</t>
  </si>
  <si>
    <t xml:space="preserve">117</t>
  </si>
  <si>
    <t xml:space="preserve">u</t>
  </si>
  <si>
    <t xml:space="preserve">75</t>
  </si>
  <si>
    <t xml:space="preserve">gets byte with failure cause of pump (motor drive volts)
0=OK (30 hex)
@=pump is ON (40 hex)
P=no phase 1 volts (50 hex)
`=no cryo power 2, both phases (60 hex)
p=no phase 2 volts (70 hex)</t>
  </si>
  <si>
    <t xml:space="preserve">$P01uV</t>
  </si>
  <si>
    <r>
      <rPr>
        <b val="true"/>
        <sz val="10"/>
        <rFont val="Arial"/>
        <family val="2"/>
        <charset val="1"/>
      </rPr>
      <t xml:space="preserve">enum</t>
    </r>
    <r>
      <rPr>
        <sz val="10"/>
        <rFont val="Arial"/>
        <family val="2"/>
        <charset val="1"/>
      </rPr>
      <t xml:space="preserve"> Pumps[X]-&gt;PumpFailureCause</t>
    </r>
  </si>
  <si>
    <t xml:space="preserve">We don’t have all these results. Replace P with Inverter failure</t>
  </si>
  <si>
    <t xml:space="preserve">118</t>
  </si>
  <si>
    <t xml:space="preserve">v</t>
  </si>
  <si>
    <t xml:space="preserve">76</t>
  </si>
  <si>
    <t xml:space="preserve">gets regen flag condition, bit is on when TRUE (biased by 40HEX)
01H= waiting for rough valve
02H=purge gas fail detected
04H=heater failure detected
08H=fast regen has recovered from purge gas fail
10H=fast regen reverted to full regen
20H=fast regen has started</t>
  </si>
  <si>
    <t xml:space="preserve">$P01vW</t>
  </si>
  <si>
    <t xml:space="preserve">$AD7, $A@3</t>
  </si>
  <si>
    <r>
      <rPr>
        <b val="true"/>
        <sz val="10"/>
        <rFont val="Arial"/>
        <family val="2"/>
        <charset val="1"/>
      </rPr>
      <t xml:space="preserve">int</t>
    </r>
    <r>
      <rPr>
        <sz val="10"/>
        <rFont val="Arial"/>
        <family val="2"/>
        <charset val="1"/>
      </rPr>
      <t xml:space="preserve"> Pumps[X]-&gt;RegenStatus</t>
    </r>
  </si>
  <si>
    <t xml:space="preserve">We don't have all these results.</t>
  </si>
  <si>
    <t xml:space="preserve">119</t>
  </si>
  <si>
    <t xml:space="preserve">w</t>
  </si>
  <si>
    <t xml:space="preserve">77</t>
  </si>
  <si>
    <t xml:space="preserve">0 to 9999999999999, ?</t>
  </si>
  <si>
    <t xml:space="preserve">unknown.  Gets or sets data, probably clock hours.  Data shifted modulo 65536.</t>
  </si>
  <si>
    <t xml:space="preserve">$w?d
$w262145Y
$w?d</t>
  </si>
  <si>
    <t xml:space="preserve">$A+284:
$A0
$A+10</t>
  </si>
  <si>
    <t xml:space="preserve">120</t>
  </si>
  <si>
    <t xml:space="preserve">x</t>
  </si>
  <si>
    <t xml:space="preserve">78</t>
  </si>
  <si>
    <t xml:space="preserve">$x?e
$x9999999999999L
$x?e</t>
  </si>
  <si>
    <t xml:space="preserve">$A+6619
$A0
$A+40959f</t>
  </si>
  <si>
    <t xml:space="preserve">121</t>
  </si>
  <si>
    <t xml:space="preserve">y</t>
  </si>
  <si>
    <t xml:space="preserve">79</t>
  </si>
  <si>
    <t xml:space="preserve">Unknown.  Queries and toggles function</t>
  </si>
  <si>
    <t xml:space="preserve">$y?j
$y0[
$y?j</t>
  </si>
  <si>
    <t xml:space="preserve">$A1c
$A0
$A0`</t>
  </si>
  <si>
    <t xml:space="preserve">122</t>
  </si>
  <si>
    <t xml:space="preserve">z</t>
  </si>
  <si>
    <t xml:space="preserve">7A</t>
  </si>
  <si>
    <t xml:space="preserve">clear/set/query user keypad lockout state
When z=1, user can only see Monitor and Service functions</t>
  </si>
  <si>
    <t xml:space="preserve">$P01z?[</t>
  </si>
  <si>
    <t xml:space="preserve">No keypad.</t>
  </si>
  <si>
    <t xml:space="preserve">123</t>
  </si>
  <si>
    <t xml:space="preserve">{</t>
  </si>
  <si>
    <t xml:space="preserve">7B</t>
  </si>
  <si>
    <t xml:space="preserve">124</t>
  </si>
  <si>
    <t xml:space="preserve">|</t>
  </si>
  <si>
    <t xml:space="preserve">7C</t>
  </si>
  <si>
    <t xml:space="preserve">125</t>
  </si>
  <si>
    <t xml:space="preserve">}</t>
  </si>
  <si>
    <t xml:space="preserve">7D</t>
  </si>
  <si>
    <t xml:space="preserve">126</t>
  </si>
  <si>
    <t xml:space="preserve">~</t>
  </si>
  <si>
    <t xml:space="preserve">7E</t>
  </si>
  <si>
    <t xml:space="preserve">127</t>
  </si>
  <si>
    <t xml:space="preserve">DEL</t>
  </si>
  <si>
    <t xml:space="preserve">7F</t>
  </si>
  <si>
    <t xml:space="preserve">RESULT CODES</t>
  </si>
  <si>
    <t xml:space="preserve">understood, no power fail or reset</t>
  </si>
  <si>
    <t xml:space="preserve">understood, but reset occurred.  Send $N00? command to clear to "A"</t>
  </si>
  <si>
    <t xml:space="preserve">invalid command, no reset</t>
  </si>
  <si>
    <t xml:space="preserve">invalid command, reset occurred</t>
  </si>
  <si>
    <t xml:space="preserve">Response Codes Only</t>
  </si>
  <si>
    <t xml:space="preserve">OK command but can't act, no reset</t>
  </si>
  <si>
    <t xml:space="preserve">OK command but can't act, with reset</t>
  </si>
  <si>
    <t xml:space="preserve">OK command but can't act, serial lock, no reset</t>
  </si>
  <si>
    <t xml:space="preserve">OK command but can't act, serial lock, w/ reset</t>
  </si>
  <si>
    <t xml:space="preserve">Comm fail; can't find this pump</t>
  </si>
  <si>
    <t xml:space="preserve">Uses command set from manual 8040406, Fast Regen control module</t>
  </si>
  <si>
    <t xml:space="preserve">Includes all commands from 8040410 manual</t>
  </si>
  <si>
    <t xml:space="preserve">Sum of "Yes"</t>
  </si>
  <si>
    <t xml:space="preserve">Sum of "?"</t>
  </si>
  <si>
    <t xml:space="preserve">Responses to O command to a pump module (ex: $P01O) </t>
  </si>
  <si>
    <t xml:space="preserve">Indicates status of pump during a regen or cooldown operation</t>
  </si>
  <si>
    <t xml:space="preserve">NOTE:  These responses actually indicate where software flow has reached in a state diagram or flow chart</t>
  </si>
  <si>
    <t xml:space="preserve">Multiple valid responses show that mutliple software paths lead to equivalent condition.</t>
  </si>
  <si>
    <t xml:space="preserve">RESPONSE</t>
  </si>
  <si>
    <t xml:space="preserve">DESCRIPTION</t>
  </si>
  <si>
    <t xml:space="preserve">A,\</t>
  </si>
  <si>
    <t xml:space="preserve">Pump OFF</t>
  </si>
  <si>
    <t xml:space="preserve">B,C,E,^,]</t>
  </si>
  <si>
    <t xml:space="preserve">pump in warmup</t>
  </si>
  <si>
    <t xml:space="preserve">D,F,G,Q,R</t>
  </si>
  <si>
    <t xml:space="preserve">purge gas failure detected</t>
  </si>
  <si>
    <t xml:space="preserve">H,S</t>
  </si>
  <si>
    <t xml:space="preserve">H=extended purge
S=in repurge cycle
[used with k and l pump module commands)</t>
  </si>
  <si>
    <t xml:space="preserve">I,J,K,T,a*,b*,j*,n*</t>
  </si>
  <si>
    <t xml:space="preserve">rough to base pressure</t>
  </si>
  <si>
    <t xml:space="preserve">rate of rise</t>
  </si>
  <si>
    <t xml:space="preserve">M,N,c*,d*,o*</t>
  </si>
  <si>
    <t xml:space="preserve">cooldown</t>
  </si>
  <si>
    <t xml:space="preserve">regen complete</t>
  </si>
  <si>
    <t xml:space="preserve">U*</t>
  </si>
  <si>
    <t xml:space="preserve">beginning of FastRegen</t>
  </si>
  <si>
    <t xml:space="preserve">regen aborted</t>
  </si>
  <si>
    <t xml:space="preserve">delay restart</t>
  </si>
  <si>
    <t xml:space="preserve">X,Y</t>
  </si>
  <si>
    <t xml:space="preserve">power failure</t>
  </si>
  <si>
    <t xml:space="preserve">delay start</t>
  </si>
  <si>
    <t xml:space="preserve">O,[</t>
  </si>
  <si>
    <t xml:space="preserve">zeroing TC gauge</t>
  </si>
  <si>
    <t xml:space="preserve">f*</t>
  </si>
  <si>
    <t xml:space="preserve">share regen wait 
(waiting for rough pump during multipump FastRegens)</t>
  </si>
  <si>
    <t xml:space="preserve">e*</t>
  </si>
  <si>
    <t xml:space="preserve">repurge during FastRegen</t>
  </si>
  <si>
    <t xml:space="preserve">h*</t>
  </si>
  <si>
    <t xml:space="preserve">purge coordinate wait
state in FastRegen waiting for all pumps to get to repurge</t>
  </si>
  <si>
    <t xml:space="preserve">i*</t>
  </si>
  <si>
    <t xml:space="preserve">rough coordinate wait
state in FastRegen waiting for all pumps to begin roughing</t>
  </si>
  <si>
    <t xml:space="preserve">k*</t>
  </si>
  <si>
    <t xml:space="preserve">purge gas fail, recovering
pump failed purge gas test during FastRegen</t>
  </si>
  <si>
    <t xml:space="preserve">l*,m*,_*,r*,s*,t*,u*,v*,'*</t>
  </si>
  <si>
    <t xml:space="preserve">NETWORK TERMINAL COMMANDS</t>
  </si>
  <si>
    <t xml:space="preserve">All commands begin with $N…</t>
  </si>
  <si>
    <t xml:space="preserve">EXAMPLE OF COMMAND (Commands should not have 00 [Net ID])</t>
  </si>
  <si>
    <t xml:space="preserve">PROPERTY(Unless noted otherwise TCryopumpSystem is the reference property)</t>
  </si>
  <si>
    <t xml:space="preserve">EVENT</t>
  </si>
  <si>
    <t xml:space="preserve">Probably not used - first 32 ASCII codes</t>
  </si>
  <si>
    <t xml:space="preserve">acknowledge NIT reset state, resets to normal</t>
  </si>
  <si>
    <t xml:space="preserve">$N00?^</t>
  </si>
  <si>
    <r>
      <rPr>
        <b val="true"/>
        <sz val="10"/>
        <rFont val="Arial"/>
        <family val="2"/>
        <charset val="1"/>
      </rPr>
      <t xml:space="preserve">bool</t>
    </r>
    <r>
      <rPr>
        <sz val="10"/>
        <rFont val="Arial"/>
        <family val="2"/>
        <charset val="1"/>
      </rPr>
      <t xml:space="preserve"> Reset</t>
    </r>
  </si>
  <si>
    <t xml:space="preserve">determines NIT type and rev level</t>
  </si>
  <si>
    <t xml:space="preserve">$N00@]</t>
  </si>
  <si>
    <t xml:space="preserve">$AMB03.011</t>
  </si>
  <si>
    <t xml:space="preserve">AnsiString TCryopumpSystem-&gt;RevLevel</t>
  </si>
  <si>
    <t xml:space="preserve">NIT sends 11 char s/n</t>
  </si>
  <si>
    <t xml:space="preserve">$N00A?^</t>
  </si>
  <si>
    <t xml:space="preserve">$A95E9501122 i</t>
  </si>
  <si>
    <t xml:space="preserve">AnsiString TCryopumpSystem-SerialNumber</t>
  </si>
  <si>
    <t xml:space="preserve">returns 0-1048575</t>
  </si>
  <si>
    <r>
      <rPr>
        <sz val="10"/>
        <rFont val="Arial"/>
        <family val="2"/>
        <charset val="1"/>
      </rPr>
      <t xml:space="preserve">returns dec # showing active pumps 0-20 binary
Decimal # = sum of 2</t>
    </r>
    <r>
      <rPr>
        <vertAlign val="superscript"/>
        <sz val="10"/>
        <rFont val="Arial"/>
        <family val="2"/>
        <charset val="1"/>
      </rPr>
      <t xml:space="preserve">n</t>
    </r>
    <r>
      <rPr>
        <sz val="10"/>
        <rFont val="Arial"/>
        <family val="2"/>
        <charset val="1"/>
      </rPr>
      <t xml:space="preserve"> where n is pump number from 0 to 19.  Example: return for pumps 00, 01, and 02 connected is 1+2+4=7.</t>
    </r>
  </si>
  <si>
    <t xml:space="preserve">$N00Bc</t>
  </si>
  <si>
    <t xml:space="preserve">$A      2c</t>
  </si>
  <si>
    <t xml:space="preserve">bool Pump[X]-&gt;Active</t>
  </si>
  <si>
    <t xml:space="preserve">1-5</t>
  </si>
  <si>
    <t xml:space="preserve">returns which pumps are in rough valve maps A-E</t>
  </si>
  <si>
    <t xml:space="preserve">$N00C1R</t>
  </si>
  <si>
    <t xml:space="preserve">$A      7h</t>
  </si>
  <si>
    <t xml:space="preserve">bool Pumps[X]-&gt;RoughMap[Y]  Where Y:=Enum(MapA-MapE)</t>
  </si>
  <si>
    <t xml:space="preserve">1-5, 
0-1048575</t>
  </si>
  <si>
    <t xml:space="preserve">accepts rough map # and pumps assigned</t>
  </si>
  <si>
    <t xml:space="preserve">$N00D17K</t>
  </si>
  <si>
    <t xml:space="preserve">Returns which pumps are assigned a rough map</t>
  </si>
  <si>
    <t xml:space="preserve">$N00E`</t>
  </si>
  <si>
    <t xml:space="preserve">Returns which pumps are actively regenerating and are granted exclusive use of the rough pump</t>
  </si>
  <si>
    <t xml:space="preserve">$N00Fg</t>
  </si>
  <si>
    <t xml:space="preserve">$A      0a</t>
  </si>
  <si>
    <t xml:space="preserve">bool Pumps[X]-&gt;LastRoughPosition</t>
  </si>
  <si>
    <t xml:space="preserve">?, 0-32767</t>
  </si>
  <si>
    <t xml:space="preserve">query or set NT password.  0=no password</t>
  </si>
  <si>
    <t xml:space="preserve">$N00G?d</t>
  </si>
  <si>
    <t xml:space="preserve">$A    0b</t>
  </si>
  <si>
    <t xml:space="preserve">int Password</t>
  </si>
  <si>
    <t xml:space="preserve">returns 0-31</t>
  </si>
  <si>
    <r>
      <rPr>
        <sz val="10"/>
        <rFont val="Arial"/>
        <family val="2"/>
        <charset val="1"/>
      </rPr>
      <t xml:space="preserve">returns rough map sets locked out.  A=1, B=2, C=4, D=8, E=16.  </t>
    </r>
    <r>
      <rPr>
        <b val="true"/>
        <sz val="10"/>
        <rFont val="Arial"/>
        <family val="2"/>
        <charset val="1"/>
      </rPr>
      <t xml:space="preserve">L may be sent every 5 seconds or less by host to retain control!</t>
    </r>
  </si>
  <si>
    <t xml:space="preserve">$N00Li</t>
  </si>
  <si>
    <t xml:space="preserve">$A     314
$A      0a</t>
  </si>
  <si>
    <t xml:space="preserve">bool Pumps[X]-&gt;LockoutMap[Y] Where Y:=Enum (MapA-MapE)</t>
  </si>
  <si>
    <t xml:space="preserve">0-31</t>
  </si>
  <si>
    <t xml:space="preserve">Locks out map sets from rough valve use</t>
  </si>
  <si>
    <t xml:space="preserve">$N00M31N</t>
  </si>
  <si>
    <t xml:space="preserve">$A     314</t>
  </si>
  <si>
    <t xml:space="preserve">Frees map sets for rough valve use</t>
  </si>
  <si>
    <t xml:space="preserve">$N00N31Q</t>
  </si>
  <si>
    <t xml:space="preserve">?, =0, =1</t>
  </si>
  <si>
    <r>
      <rPr>
        <sz val="10"/>
        <rFont val="Arial"/>
        <family val="2"/>
        <charset val="1"/>
      </rPr>
      <t xml:space="preserve">queries/clears/sets supervisor mode.  Set=1. 
</t>
    </r>
    <r>
      <rPr>
        <b val="true"/>
        <sz val="10"/>
        <rFont val="Arial"/>
        <family val="2"/>
        <charset val="1"/>
      </rPr>
      <t xml:space="preserve">When Supervisor mode is set, Unless L received every 5 secs, remote lockout rough sets are cleared automatically.
</t>
    </r>
  </si>
  <si>
    <t xml:space="preserve">$N00O=0[
$N00O?l</t>
  </si>
  <si>
    <t xml:space="preserve">$A0
$A0`</t>
  </si>
  <si>
    <t xml:space="preserve">Controlled by THostDecipher component</t>
  </si>
  <si>
    <t xml:space="preserve">returns decimal number indicating pumps (0-19) assigned to multipump regens.  Same as X1 command below.</t>
  </si>
  <si>
    <t xml:space="preserve">$N00Pm</t>
  </si>
  <si>
    <t xml:space="preserve">bool Pumps[X]-&gt;RegenMap[Y] Where Y:=Enum (MapA-MapE)</t>
  </si>
  <si>
    <t xml:space="preserve">0-1048575</t>
  </si>
  <si>
    <t xml:space="preserve">accepts code to set pumps 0-19 in multipump regen set.  Same as W1 command below.</t>
  </si>
  <si>
    <t xml:space="preserve">$N00Q7f</t>
  </si>
  <si>
    <t xml:space="preserve">query/clear/set Group Regen Lock flag for access to multipump regen on keypad</t>
  </si>
  <si>
    <t xml:space="preserve">$N00V=1c
$N00V?2</t>
  </si>
  <si>
    <t xml:space="preserve">1-5, 0-1048575</t>
  </si>
  <si>
    <r>
      <rPr>
        <sz val="10"/>
        <rFont val="Arial"/>
        <family val="2"/>
        <charset val="1"/>
      </rPr>
      <t xml:space="preserve">accepts code to set pumps in multipump regen groups.  </t>
    </r>
    <r>
      <rPr>
        <b val="true"/>
        <sz val="10"/>
        <rFont val="Arial"/>
        <family val="2"/>
        <charset val="1"/>
      </rPr>
      <t xml:space="preserve">Not completed if any pump cannot do Fast regen.</t>
    </r>
  </si>
  <si>
    <t xml:space="preserve">$NW17\</t>
  </si>
  <si>
    <t xml:space="preserve">returns code identifying  pumps in multipump regen group (0-1048575)</t>
  </si>
  <si>
    <t xml:space="preserve">$N00X1g</t>
  </si>
  <si>
    <t xml:space="preserve">1-5, [0,2,3]</t>
  </si>
  <si>
    <t xml:space="preserve">specifies multipump regen group, aborts/starts full/starts fast regen</t>
  </si>
  <si>
    <t xml:space="preserve">$N00Y12[</t>
  </si>
  <si>
    <t xml:space="preserve">bool Pumps[X]-&gt;RunMode</t>
  </si>
  <si>
    <t xml:space="preserve">?, 0-1</t>
  </si>
  <si>
    <t xml:space="preserve">allow or lockout competing serial ports.  Query returns 0-3 to identify owning port, 0=no lockout, 1=host, 2=service, 3=auxiliary RS-232 port </t>
  </si>
  <si>
    <t xml:space="preserve">$N00g17
$N00g?E</t>
  </si>
  <si>
    <t xml:space="preserve">Allow 0 and 1 since we don’t have additional serial port access.</t>
  </si>
  <si>
    <t xml:space="preserve">returns code identifying pumps in [unknown] group (0-1048575)</t>
  </si>
  <si>
    <t xml:space="preserve">sets pumps to be monitored by j command</t>
  </si>
  <si>
    <t xml:space="preserve">19 bit wide field</t>
  </si>
  <si>
    <t xml:space="preserve">0-19 or 00-19</t>
  </si>
  <si>
    <t xml:space="preserve">get 8 characters with condensed status info</t>
  </si>
  <si>
    <t xml:space="preserve">pg 3-15 "8040744 On-Board IS sublime routine reference 8040744.pdf"</t>
  </si>
  <si>
    <t xml:space="preserve">$N00</t>
  </si>
  <si>
    <t xml:space="preserve">?,(8char)</t>
  </si>
  <si>
    <t xml:space="preserve">Query or set the network terminal identification string</t>
  </si>
  <si>
    <t xml:space="preserve">$NlA?j</t>
  </si>
  <si>
    <t xml:space="preserve">$ANT002</t>
  </si>
  <si>
    <r>
      <rPr>
        <b val="true"/>
        <sz val="10"/>
        <rFont val="Arial"/>
        <family val="2"/>
        <charset val="1"/>
      </rPr>
      <t xml:space="preserve">AnsiString </t>
    </r>
    <r>
      <rPr>
        <sz val="10"/>
        <rFont val="Arial"/>
        <family val="2"/>
        <charset val="1"/>
      </rPr>
      <t xml:space="preserve">TerminalName</t>
    </r>
  </si>
  <si>
    <t xml:space="preserve">query/on/off full rough coordination</t>
  </si>
  <si>
    <t xml:space="preserve">$N00n=18
$N00n?J</t>
  </si>
  <si>
    <r>
      <rPr>
        <b val="true"/>
        <sz val="10"/>
        <rFont val="Arial"/>
        <family val="2"/>
        <charset val="1"/>
      </rPr>
      <t xml:space="preserve">bool</t>
    </r>
    <r>
      <rPr>
        <sz val="10"/>
        <rFont val="Arial"/>
        <family val="2"/>
        <charset val="1"/>
      </rPr>
      <t xml:space="preserve"> FullRoughCoord</t>
    </r>
  </si>
  <si>
    <t xml:space="preserve">query/on/off power fail coordination for rough manifolds.  Command "n" must be on for function.</t>
  </si>
  <si>
    <t xml:space="preserve">$N00o=19
$N00o?M</t>
  </si>
  <si>
    <r>
      <rPr>
        <b val="true"/>
        <sz val="10"/>
        <rFont val="Arial"/>
        <family val="2"/>
        <charset val="1"/>
      </rPr>
      <t xml:space="preserve">bool</t>
    </r>
    <r>
      <rPr>
        <sz val="10"/>
        <rFont val="Arial"/>
        <family val="2"/>
        <charset val="1"/>
      </rPr>
      <t xml:space="preserve"> PowerFailCoord</t>
    </r>
  </si>
  <si>
    <t xml:space="preserve">[This is first character after $ of answer from Network Terminal]</t>
  </si>
  <si>
    <t xml:space="preserve">sends back current regen step</t>
  </si>
  <si>
    <t xml:space="preserve">sets or reads regen parameters
</t>
  </si>
  <si>
    <t xml:space="preserve">Rough valve interlock; </t>
  </si>
  <si>
    <t xml:space="preserve">UNDOCUMENTED R0=pump TC volts, R1= Aux TC volts R2=T1 volts, R3=T2 volts</t>
  </si>
  <si>
    <t xml:space="preserve">Sends back status indicators</t>
  </si>
  <si>
    <t xml:space="preserve">Programs setpoint relay 1 or 2</t>
  </si>
  <si>
    <t xml:space="preserve">1-2 0-8,ABCF 4 digit number ?,0,1,2,8</t>
  </si>
  <si>
    <t xml:space="preserve">gets or writes diode millivolts vs temperature</t>
  </si>
  <si>
    <t xml:space="preserve">set serial number, pump name, etc</t>
  </si>
  <si>
    <t xml:space="preserve">A?, Q?, A,Q, D, D?, C, C?</t>
  </si>
  <si>
    <t xml:space="preserve">Gets memory error code from initialization</t>
  </si>
  <si>
    <t xml:space="preserve">a=how long since last full regen (0-65000) a2=how long since last fast regen (in hours)</t>
  </si>
  <si>
    <t xml:space="preserve">?, [0-12] [1-20] ...</t>
  </si>
  <si>
    <t xml:space="preserve">ERASES ALL REGEN HISTORY!!! DO NOT SEND THIS COMMAND!!!</t>
  </si>
  <si>
    <t xml:space="preserve">gets one character with regen error code</t>
  </si>
  <si>
    <t xml:space="preserve">clear/set/query Power Fail Recovery flag</t>
  </si>
  <si>
    <t xml:space="preserve">inquire or clear Power Failure Recovery flag.</t>
  </si>
  <si>
    <t xml:space="preserve">gets byte with failure cause of pump (motor drive volts)</t>
  </si>
  <si>
    <t xml:space="preserve">gets regen flag condition, bit is on when TRUE (biased by 40HEX)</t>
  </si>
  <si>
    <t xml:space="preserve">returns dec # showing active pumps 0-20 binary</t>
  </si>
  <si>
    <t xml:space="preserve">returns rough map sets locked out. </t>
  </si>
  <si>
    <t xml:space="preserve">queries/clears/sets supervisor mode.  Set=1. 
</t>
  </si>
  <si>
    <t xml:space="preserve">accepts code to set pumps in multipump regen groups.</t>
  </si>
  <si>
    <t xml:space="preserve">allow or lockout competing serial ports.</t>
  </si>
</sst>
</file>

<file path=xl/styles.xml><?xml version="1.0" encoding="utf-8"?>
<styleSheet xmlns="http://schemas.openxmlformats.org/spreadsheetml/2006/main">
  <numFmts count="4">
    <numFmt numFmtId="164" formatCode="General"/>
    <numFmt numFmtId="165" formatCode="00000000"/>
    <numFmt numFmtId="166" formatCode="0"/>
    <numFmt numFmtId="167" formatCode="@"/>
  </numFmts>
  <fonts count="11">
    <font>
      <sz val="10"/>
      <name val="Arial"/>
      <family val="2"/>
      <charset val="1"/>
    </font>
    <font>
      <sz val="10"/>
      <name val="Arial"/>
      <family val="0"/>
    </font>
    <font>
      <sz val="10"/>
      <name val="Arial"/>
      <family val="0"/>
    </font>
    <font>
      <sz val="10"/>
      <name val="Arial"/>
      <family val="0"/>
    </font>
    <font>
      <b val="true"/>
      <sz val="12"/>
      <name val="Arial"/>
      <family val="2"/>
      <charset val="1"/>
    </font>
    <font>
      <b val="true"/>
      <sz val="10"/>
      <name val="Arial"/>
      <family val="2"/>
      <charset val="1"/>
    </font>
    <font>
      <b val="true"/>
      <sz val="10"/>
      <color rgb="FF000000"/>
      <name val="Arial"/>
      <family val="2"/>
      <charset val="1"/>
    </font>
    <font>
      <sz val="10"/>
      <name val="Fixedsys"/>
      <family val="3"/>
      <charset val="1"/>
    </font>
    <font>
      <b val="true"/>
      <sz val="10"/>
      <name val="Fixedsys"/>
      <family val="3"/>
      <charset val="1"/>
    </font>
    <font>
      <b val="true"/>
      <sz val="10"/>
      <color rgb="FFFF3333"/>
      <name val="Arial"/>
      <family val="2"/>
      <charset val="1"/>
    </font>
    <font>
      <vertAlign val="superscript"/>
      <sz val="10"/>
      <name val="Arial"/>
      <family val="2"/>
      <charset val="1"/>
    </font>
  </fonts>
  <fills count="12">
    <fill>
      <patternFill patternType="none"/>
    </fill>
    <fill>
      <patternFill patternType="gray125"/>
    </fill>
    <fill>
      <patternFill patternType="solid">
        <fgColor rgb="FFCCFFCC"/>
        <bgColor rgb="FFCCFFFF"/>
      </patternFill>
    </fill>
    <fill>
      <patternFill patternType="solid">
        <fgColor rgb="FFFF99CC"/>
        <bgColor rgb="FFFF8080"/>
      </patternFill>
    </fill>
    <fill>
      <patternFill patternType="solid">
        <fgColor rgb="FFFF0000"/>
        <bgColor rgb="FFFF3333"/>
      </patternFill>
    </fill>
    <fill>
      <patternFill patternType="solid">
        <fgColor rgb="FFFF9900"/>
        <bgColor rgb="FFFFCC00"/>
      </patternFill>
    </fill>
    <fill>
      <patternFill patternType="solid">
        <fgColor rgb="FF00FF00"/>
        <bgColor rgb="FF33CCCC"/>
      </patternFill>
    </fill>
    <fill>
      <patternFill patternType="solid">
        <fgColor rgb="FFFF6600"/>
        <bgColor rgb="FFFF9900"/>
      </patternFill>
    </fill>
    <fill>
      <patternFill patternType="solid">
        <fgColor rgb="FF00FFFF"/>
        <bgColor rgb="FF00FFFF"/>
      </patternFill>
    </fill>
    <fill>
      <patternFill patternType="solid">
        <fgColor rgb="FF00CCFF"/>
        <bgColor rgb="FF33CCCC"/>
      </patternFill>
    </fill>
    <fill>
      <patternFill patternType="solid">
        <fgColor rgb="FFCC99FF"/>
        <bgColor rgb="FF9999FF"/>
      </patternFill>
    </fill>
    <fill>
      <patternFill patternType="solid">
        <fgColor rgb="FFFFFF00"/>
        <bgColor rgb="FFFFFF00"/>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color rgb="FF3366FF"/>
      </left>
      <right style="medium">
        <color rgb="FF3366FF"/>
      </right>
      <top style="medium">
        <color rgb="FF3366FF"/>
      </top>
      <bottom style="medium">
        <color rgb="FF3366FF"/>
      </bottom>
      <diagonal/>
    </border>
    <border diagonalUp="false" diagonalDown="false">
      <left style="thick"/>
      <right style="thick"/>
      <top style="thick"/>
      <bottom style="thick"/>
      <diagonal/>
    </border>
    <border diagonalUp="false" diagonalDown="false">
      <left/>
      <right/>
      <top/>
      <bottom style="thick"/>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right" vertical="bottom" textRotation="0" wrapText="false" indent="0" shrinkToFit="false"/>
      <protection locked="true" hidden="false"/>
    </xf>
    <xf numFmtId="164" fontId="5" fillId="2" borderId="4"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7" fontId="5" fillId="4"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7" fontId="5" fillId="5"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right" vertical="top" textRotation="0" wrapText="false" indent="0" shrinkToFit="false"/>
      <protection locked="true" hidden="false"/>
    </xf>
    <xf numFmtId="167" fontId="0" fillId="0" borderId="0" xfId="0" applyFont="false" applyBorder="false" applyAlignment="true" applyProtection="false">
      <alignment horizontal="right" vertical="top" textRotation="0" wrapText="true" indent="0" shrinkToFit="false"/>
      <protection locked="true" hidden="false"/>
    </xf>
    <xf numFmtId="167" fontId="5" fillId="6" borderId="0" xfId="0" applyFont="true" applyBorder="fals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top" textRotation="0" wrapText="true" indent="0" shrinkToFit="false"/>
      <protection locked="true" hidden="false"/>
    </xf>
    <xf numFmtId="164" fontId="5" fillId="0" borderId="5" xfId="0" applyFont="true" applyBorder="true" applyAlignment="true" applyProtection="false">
      <alignment horizontal="center"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right" vertical="top" textRotation="0" wrapText="false" indent="0" shrinkToFit="false"/>
      <protection locked="true" hidden="false"/>
    </xf>
    <xf numFmtId="167" fontId="5"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justify"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7" fontId="0" fillId="0" borderId="1" xfId="0" applyFont="true" applyBorder="true" applyAlignment="true" applyProtection="false">
      <alignment horizontal="general" vertical="top" textRotation="0" wrapText="false" indent="0" shrinkToFit="false"/>
      <protection locked="true" hidden="false"/>
    </xf>
    <xf numFmtId="167" fontId="0" fillId="0" borderId="1" xfId="0" applyFont="true" applyBorder="true" applyAlignment="true" applyProtection="false">
      <alignment horizontal="right"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0" fillId="0" borderId="1" xfId="0" applyFont="fals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right" vertical="top" textRotation="0" wrapText="true" indent="0" shrinkToFit="false"/>
      <protection locked="true" hidden="false"/>
    </xf>
    <xf numFmtId="164" fontId="0" fillId="0" borderId="6" xfId="0" applyFont="false" applyBorder="true" applyAlignment="true" applyProtection="false">
      <alignment horizontal="general" vertical="top" textRotation="0" wrapText="true" indent="0" shrinkToFit="false"/>
      <protection locked="true" hidden="false"/>
    </xf>
    <xf numFmtId="164" fontId="7" fillId="0" borderId="6"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6"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0" fillId="0" borderId="6" xfId="0" applyFont="true" applyBorder="true" applyAlignment="true" applyProtection="false">
      <alignment horizontal="general" vertical="bottom"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8" borderId="6" xfId="0" applyFont="true" applyBorder="true" applyAlignment="true" applyProtection="false">
      <alignment horizontal="general" vertical="bottom" textRotation="0" wrapText="true" indent="0" shrinkToFit="false"/>
      <protection locked="true" hidden="false"/>
    </xf>
    <xf numFmtId="164" fontId="7" fillId="9" borderId="6"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7" fontId="0" fillId="6" borderId="1" xfId="0" applyFont="true" applyBorder="true" applyAlignment="true" applyProtection="false">
      <alignment horizontal="general" vertical="top" textRotation="0" wrapText="true" indent="0" shrinkToFit="false"/>
      <protection locked="true" hidden="false"/>
    </xf>
    <xf numFmtId="167" fontId="5" fillId="4" borderId="1" xfId="0" applyFont="true" applyBorder="true" applyAlignment="true" applyProtection="false">
      <alignment horizontal="general" vertical="top" textRotation="0" wrapText="true" indent="0" shrinkToFit="false"/>
      <protection locked="true" hidden="false"/>
    </xf>
    <xf numFmtId="167" fontId="0" fillId="0" borderId="6" xfId="0" applyFont="true" applyBorder="true" applyAlignment="true" applyProtection="false">
      <alignment horizontal="general" vertical="top" textRotation="0" wrapText="true" indent="0" shrinkToFit="false"/>
      <protection locked="true" hidden="false"/>
    </xf>
    <xf numFmtId="167" fontId="0" fillId="4" borderId="1" xfId="0" applyFont="true" applyBorder="true" applyAlignment="true" applyProtection="false">
      <alignment horizontal="general" vertical="top" textRotation="0" wrapText="true" indent="0" shrinkToFit="false"/>
      <protection locked="true" hidden="false"/>
    </xf>
    <xf numFmtId="164" fontId="9" fillId="0" borderId="6" xfId="0" applyFont="true" applyBorder="true" applyAlignment="true" applyProtection="false">
      <alignment horizontal="general" vertical="top" textRotation="0" wrapText="true" indent="0" shrinkToFit="false"/>
      <protection locked="true" hidden="false"/>
    </xf>
    <xf numFmtId="167" fontId="5" fillId="1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4" fontId="0" fillId="8" borderId="6" xfId="0" applyFont="true" applyBorder="true" applyAlignment="true" applyProtection="false">
      <alignment horizontal="general" vertical="top" textRotation="0" wrapText="true" indent="0" shrinkToFit="false"/>
      <protection locked="true" hidden="false"/>
    </xf>
    <xf numFmtId="164" fontId="7" fillId="8" borderId="6" xfId="0" applyFont="tru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7" fontId="0" fillId="8" borderId="2" xfId="0" applyFont="false" applyBorder="true" applyAlignment="true" applyProtection="false">
      <alignment horizontal="general" vertical="top" textRotation="0" wrapText="true" indent="0" shrinkToFit="false"/>
      <protection locked="true" hidden="false"/>
    </xf>
    <xf numFmtId="167" fontId="0" fillId="8" borderId="7" xfId="0" applyFont="false" applyBorder="true" applyAlignment="true" applyProtection="false">
      <alignment horizontal="general" vertical="top" textRotation="0" wrapText="true" indent="0" shrinkToFit="false"/>
      <protection locked="true" hidden="false"/>
    </xf>
    <xf numFmtId="167" fontId="5" fillId="8" borderId="7" xfId="0" applyFont="true" applyBorder="true" applyAlignment="true" applyProtection="false">
      <alignment horizontal="center" vertical="top" textRotation="0" wrapText="true" indent="0" shrinkToFit="false"/>
      <protection locked="true" hidden="false"/>
    </xf>
    <xf numFmtId="167" fontId="0" fillId="8" borderId="8" xfId="0" applyFont="fals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false" indent="0" shrinkToFit="false"/>
      <protection locked="true" hidden="false"/>
    </xf>
    <xf numFmtId="167" fontId="5" fillId="0" borderId="5" xfId="0" applyFont="true" applyBorder="true" applyAlignment="true" applyProtection="false">
      <alignment horizontal="right" vertical="bottom" textRotation="0" wrapText="false" indent="0" shrinkToFit="false"/>
      <protection locked="true" hidden="false"/>
    </xf>
    <xf numFmtId="167" fontId="5" fillId="0" borderId="5" xfId="0" applyFont="true" applyBorder="true" applyAlignment="true" applyProtection="false">
      <alignment horizontal="right" vertical="bottom" textRotation="0" wrapText="true" indent="0" shrinkToFit="false"/>
      <protection locked="true" hidden="false"/>
    </xf>
    <xf numFmtId="164" fontId="5" fillId="0" borderId="5"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7" fontId="0" fillId="0" borderId="8" xfId="0" applyFont="true" applyBorder="true" applyAlignment="true" applyProtection="false">
      <alignment horizontal="general" vertical="top" textRotation="0" wrapText="false" indent="0" shrinkToFit="false"/>
      <protection locked="true" hidden="false"/>
    </xf>
    <xf numFmtId="164" fontId="0" fillId="0" borderId="8" xfId="0" applyFont="true" applyBorder="true" applyAlignment="true" applyProtection="false">
      <alignment horizontal="left" vertical="bottom" textRotation="0" wrapText="false" indent="0" shrinkToFit="false"/>
      <protection locked="true" hidden="false"/>
    </xf>
    <xf numFmtId="167" fontId="0" fillId="0" borderId="8" xfId="0" applyFont="true" applyBorder="true" applyAlignment="true" applyProtection="false">
      <alignment horizontal="right" vertical="bottom" textRotation="0" wrapText="false" indent="0" shrinkToFit="false"/>
      <protection locked="true" hidden="false"/>
    </xf>
    <xf numFmtId="167" fontId="0" fillId="0" borderId="8" xfId="0" applyFont="false" applyBorder="true" applyAlignment="true" applyProtection="false">
      <alignment horizontal="right" vertical="bottom" textRotation="0" wrapText="true" indent="0" shrinkToFit="false"/>
      <protection locked="true" hidden="false"/>
    </xf>
    <xf numFmtId="164" fontId="0" fillId="0" borderId="8"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0" fillId="8" borderId="1" xfId="0" applyFont="true" applyBorder="true" applyAlignment="true" applyProtection="false">
      <alignment horizontal="general" vertical="bottom"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true" indent="0" shrinkToFit="false"/>
      <protection locked="true" hidden="false"/>
    </xf>
    <xf numFmtId="167" fontId="0" fillId="8" borderId="1" xfId="0" applyFont="false" applyBorder="true" applyAlignment="true" applyProtection="false">
      <alignment horizontal="right" vertical="bottom" textRotation="0" wrapText="true" indent="0" shrinkToFit="false"/>
      <protection locked="true" hidden="false"/>
    </xf>
    <xf numFmtId="164" fontId="0" fillId="11" borderId="1" xfId="0" applyFont="false" applyBorder="true" applyAlignment="true" applyProtection="false">
      <alignment horizontal="center" vertical="bottom" textRotation="0" wrapText="false" indent="0" shrinkToFit="false"/>
      <protection locked="true" hidden="false"/>
    </xf>
    <xf numFmtId="167" fontId="0" fillId="11" borderId="1" xfId="0" applyFont="true" applyBorder="true" applyAlignment="true" applyProtection="false">
      <alignment horizontal="general" vertical="top" textRotation="0" wrapText="false" indent="0" shrinkToFit="false"/>
      <protection locked="true" hidden="false"/>
    </xf>
    <xf numFmtId="164" fontId="0" fillId="11" borderId="1" xfId="0" applyFont="true" applyBorder="true" applyAlignment="true" applyProtection="false">
      <alignment horizontal="left" vertical="bottom" textRotation="0" wrapText="false" indent="0" shrinkToFit="false"/>
      <protection locked="true" hidden="false"/>
    </xf>
    <xf numFmtId="167" fontId="0" fillId="11" borderId="1" xfId="0" applyFont="true" applyBorder="true" applyAlignment="true" applyProtection="false">
      <alignment horizontal="right" vertical="bottom" textRotation="0" wrapText="false" indent="0" shrinkToFit="false"/>
      <protection locked="true" hidden="false"/>
    </xf>
    <xf numFmtId="167" fontId="0" fillId="11" borderId="1" xfId="0" applyFont="true" applyBorder="true" applyAlignment="true" applyProtection="false">
      <alignment horizontal="right" vertical="bottom" textRotation="0" wrapText="true" indent="0" shrinkToFit="false"/>
      <protection locked="true" hidden="false"/>
    </xf>
    <xf numFmtId="164" fontId="0" fillId="11" borderId="1" xfId="0" applyFont="true" applyBorder="true" applyAlignment="true" applyProtection="false">
      <alignment horizontal="general" vertical="bottom" textRotation="0" wrapText="tru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5" fillId="11" borderId="1"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4" fontId="0" fillId="0" borderId="6" xfId="0" applyFont="true" applyBorder="true" applyAlignment="true" applyProtection="false">
      <alignment horizontal="left" vertical="top" textRotation="0" wrapText="true" indent="0" shrinkToFit="false"/>
      <protection locked="true" hidden="false"/>
    </xf>
    <xf numFmtId="167" fontId="0" fillId="0" borderId="1" xfId="0" applyFont="false" applyBorder="true" applyAlignment="true" applyProtection="false">
      <alignment horizontal="left" vertical="top" textRotation="0" wrapText="true" indent="0" shrinkToFit="false"/>
      <protection locked="true" hidden="false"/>
    </xf>
    <xf numFmtId="164" fontId="0" fillId="0" borderId="6" xfId="0" applyFont="true" applyBorder="true" applyAlignment="true" applyProtection="false">
      <alignment horizontal="left" vertical="bottom" textRotation="0" wrapText="true" indent="0" shrinkToFit="false"/>
      <protection locked="true" hidden="false"/>
    </xf>
    <xf numFmtId="164" fontId="0" fillId="8" borderId="6"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7" fontId="0" fillId="0" borderId="6" xfId="0" applyFont="true" applyBorder="true" applyAlignment="true" applyProtection="false">
      <alignment horizontal="left" vertical="top" textRotation="0" wrapText="true" indent="0" shrinkToFit="false"/>
      <protection locked="true" hidden="false"/>
    </xf>
    <xf numFmtId="164" fontId="9" fillId="0" borderId="6" xfId="0" applyFont="true" applyBorder="true" applyAlignment="true" applyProtection="false">
      <alignment horizontal="left" vertical="top" textRotation="0" wrapText="true" indent="0" shrinkToFit="false"/>
      <protection locked="true" hidden="false"/>
    </xf>
    <xf numFmtId="164" fontId="0" fillId="8" borderId="6"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7" fontId="0" fillId="0" borderId="1" xfId="0" applyFont="false" applyBorder="true" applyAlignment="true" applyProtection="false">
      <alignment horizontal="left" vertical="bottom" textRotation="0" wrapText="true" indent="0" shrinkToFit="false"/>
      <protection locked="true" hidden="false"/>
    </xf>
    <xf numFmtId="167" fontId="0" fillId="8" borderId="1" xfId="0" applyFont="false" applyBorder="true" applyAlignment="true" applyProtection="false">
      <alignment horizontal="left" vertical="bottom" textRotation="0" wrapText="true" indent="0" shrinkToFit="false"/>
      <protection locked="true" hidden="false"/>
    </xf>
    <xf numFmtId="167" fontId="0" fillId="11" borderId="1" xfId="0" applyFont="true" applyBorder="true" applyAlignment="true" applyProtection="false">
      <alignment horizontal="left" vertical="bottom"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FF3333"/>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1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RowHeight="12.5"/>
  <cols>
    <col collapsed="false" hidden="false" max="1" min="1" style="1" width="103.566326530612"/>
    <col collapsed="false" hidden="false" max="1025" min="2" style="0" width="8.4234693877551"/>
  </cols>
  <sheetData>
    <row r="1" customFormat="false" ht="15.5" hidden="false" customHeight="false" outlineLevel="0" collapsed="false">
      <c r="A1" s="2" t="s">
        <v>0</v>
      </c>
    </row>
    <row r="2" customFormat="false" ht="50" hidden="false" customHeight="false" outlineLevel="0" collapsed="false">
      <c r="A2" s="1" t="s">
        <v>1</v>
      </c>
    </row>
    <row r="3" customFormat="false" ht="37.5" hidden="false" customHeight="false" outlineLevel="0" collapsed="false">
      <c r="A3" s="1" t="s">
        <v>2</v>
      </c>
    </row>
    <row r="4" customFormat="false" ht="12.5" hidden="false" customHeight="false" outlineLevel="0" collapsed="false">
      <c r="A4" s="1" t="s">
        <v>3</v>
      </c>
    </row>
    <row r="5" customFormat="false" ht="12.5" hidden="false" customHeight="false" outlineLevel="0" collapsed="false">
      <c r="A5" s="0"/>
    </row>
    <row r="6" customFormat="false" ht="12.5" hidden="false" customHeight="false" outlineLevel="0" collapsed="false">
      <c r="A6" s="0"/>
    </row>
    <row r="7" customFormat="false" ht="37.5" hidden="false" customHeight="false" outlineLevel="0" collapsed="false">
      <c r="A7" s="1" t="s">
        <v>4</v>
      </c>
    </row>
    <row r="8" customFormat="false" ht="12.5" hidden="false" customHeight="false" outlineLevel="0" collapsed="false">
      <c r="A8" s="0"/>
    </row>
    <row r="9" customFormat="false" ht="37.5" hidden="false" customHeight="false" outlineLevel="0" collapsed="false">
      <c r="A9" s="1" t="s">
        <v>5</v>
      </c>
    </row>
    <row r="10" customFormat="false" ht="12.5" hidden="false" customHeight="false" outlineLevel="0" collapsed="false">
      <c r="A10" s="0"/>
    </row>
    <row r="11" customFormat="false" ht="25" hidden="false" customHeight="false" outlineLevel="0" collapsed="false">
      <c r="A11" s="1" t="s">
        <v>6</v>
      </c>
    </row>
    <row r="12" customFormat="false" ht="12.5" hidden="false" customHeight="false" outlineLevel="0" collapsed="false">
      <c r="A12" s="0"/>
    </row>
    <row r="13" customFormat="false" ht="12.5" hidden="false" customHeight="false" outlineLevel="0" collapsed="false">
      <c r="A13" s="0"/>
    </row>
    <row r="14" customFormat="false" ht="12.5" hidden="false" customHeight="false" outlineLevel="0" collapsed="false">
      <c r="A14" s="1" t="s">
        <v>7</v>
      </c>
    </row>
    <row r="15" customFormat="false" ht="12.5" hidden="false" customHeight="false" outlineLevel="0" collapsed="false">
      <c r="A15" s="1" t="s">
        <v>8</v>
      </c>
    </row>
    <row r="16" customFormat="false" ht="12.5" hidden="false" customHeight="false" outlineLevel="0" collapsed="false">
      <c r="A16" s="0"/>
    </row>
    <row r="17" customFormat="false" ht="12.5" hidden="false" customHeight="false" outlineLevel="0" collapsed="false">
      <c r="A17" s="1" t="s">
        <v>9</v>
      </c>
    </row>
    <row r="18" customFormat="false" ht="12.5" hidden="false" customHeight="false" outlineLevel="0" collapsed="false">
      <c r="A18" s="0"/>
    </row>
    <row r="19" customFormat="false" ht="12.5" hidden="false" customHeight="false" outlineLevel="0" collapsed="false">
      <c r="A19" s="3" t="s">
        <v>10</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true"/>
  </sheetPr>
  <dimension ref="A1:T6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RowHeight="12.5"/>
  <cols>
    <col collapsed="false" hidden="false" max="1" min="1" style="0" width="8.4234693877551"/>
    <col collapsed="false" hidden="false" max="2" min="2" style="0" width="20.5204081632653"/>
    <col collapsed="false" hidden="false" max="3" min="3" style="0" width="21.7091836734694"/>
    <col collapsed="false" hidden="false" max="4" min="4" style="0" width="8.4234693877551"/>
    <col collapsed="false" hidden="false" max="5" min="5" style="0" width="9.39795918367347"/>
    <col collapsed="false" hidden="false" max="6" min="6" style="0" width="7.23469387755102"/>
    <col collapsed="false" hidden="false" max="7" min="7" style="0" width="9.8265306122449"/>
    <col collapsed="false" hidden="false" max="16" min="8" style="0" width="7.23469387755102"/>
    <col collapsed="false" hidden="false" max="17" min="17" style="0" width="10.0459183673469"/>
    <col collapsed="false" hidden="false" max="1025" min="18" style="0" width="8.4234693877551"/>
  </cols>
  <sheetData>
    <row r="1" customFormat="false" ht="15.5" hidden="false" customHeight="false" outlineLevel="0" collapsed="false">
      <c r="A1" s="4" t="s">
        <v>11</v>
      </c>
    </row>
    <row r="2" customFormat="false" ht="12.5" hidden="false" customHeight="false" outlineLevel="0" collapsed="false">
      <c r="E2" s="0" t="s">
        <v>12</v>
      </c>
    </row>
    <row r="3" customFormat="false" ht="12.5" hidden="false" customHeight="false" outlineLevel="0" collapsed="false">
      <c r="B3" s="0" t="s">
        <v>13</v>
      </c>
      <c r="C3" s="5" t="s">
        <v>14</v>
      </c>
      <c r="D3" s="6" t="n">
        <f aca="false">LEN(C5)</f>
        <v>2</v>
      </c>
      <c r="E3" s="7" t="n">
        <v>1</v>
      </c>
      <c r="F3" s="7" t="n">
        <v>2</v>
      </c>
      <c r="G3" s="7" t="n">
        <v>3</v>
      </c>
      <c r="H3" s="7" t="n">
        <v>4</v>
      </c>
      <c r="I3" s="7" t="n">
        <v>5</v>
      </c>
      <c r="J3" s="7" t="n">
        <v>6</v>
      </c>
      <c r="K3" s="7" t="n">
        <v>7</v>
      </c>
      <c r="L3" s="7" t="n">
        <v>8</v>
      </c>
      <c r="M3" s="7" t="n">
        <v>9</v>
      </c>
      <c r="N3" s="7" t="n">
        <v>10</v>
      </c>
      <c r="O3" s="7" t="n">
        <v>11</v>
      </c>
      <c r="P3" s="7" t="n">
        <v>12</v>
      </c>
      <c r="Q3" s="7" t="n">
        <v>13</v>
      </c>
      <c r="R3" s="7" t="n">
        <v>14</v>
      </c>
      <c r="S3" s="7" t="s">
        <v>15</v>
      </c>
    </row>
    <row r="4" customFormat="false" ht="15.5" hidden="false" customHeight="false" outlineLevel="0" collapsed="false">
      <c r="A4" s="4" t="s">
        <v>16</v>
      </c>
      <c r="D4" s="7" t="s">
        <v>17</v>
      </c>
      <c r="E4" s="7" t="str">
        <f aca="false">MID($C$5,E$3,1)</f>
        <v>A</v>
      </c>
      <c r="F4" s="7" t="str">
        <f aca="false">MID($C$5,F$3,1)</f>
        <v>1</v>
      </c>
      <c r="G4" s="7" t="str">
        <f aca="false">MID($C$5,G$3,1)</f>
        <v/>
      </c>
      <c r="H4" s="7" t="str">
        <f aca="false">MID($C$5,H$3,1)</f>
        <v/>
      </c>
      <c r="I4" s="7" t="str">
        <f aca="false">MID($C$5,I$3,1)</f>
        <v/>
      </c>
      <c r="J4" s="7" t="str">
        <f aca="false">MID($C$5,J$3,1)</f>
        <v/>
      </c>
      <c r="K4" s="7" t="str">
        <f aca="false">MID($C$5,K$3,1)</f>
        <v/>
      </c>
      <c r="L4" s="7" t="str">
        <f aca="false">MID($C$5,L$3,1)</f>
        <v/>
      </c>
      <c r="M4" s="7" t="str">
        <f aca="false">MID($C$5,M$3,1)</f>
        <v/>
      </c>
      <c r="N4" s="7" t="str">
        <f aca="false">MID($C$5,N$3,1)</f>
        <v/>
      </c>
      <c r="O4" s="7" t="str">
        <f aca="false">MID($C$5,O$3,1)</f>
        <v/>
      </c>
      <c r="P4" s="7" t="str">
        <f aca="false">MID($C$5,P$3,1)</f>
        <v/>
      </c>
      <c r="Q4" s="7" t="str">
        <f aca="false">MID($C$5,Q$3,1)</f>
        <v/>
      </c>
      <c r="R4" s="7" t="str">
        <f aca="false">MID($C$5,R$3,1)</f>
        <v/>
      </c>
      <c r="S4" s="7"/>
    </row>
    <row r="5" customFormat="false" ht="13" hidden="false" customHeight="false" outlineLevel="0" collapsed="false">
      <c r="B5" s="5" t="s">
        <v>18</v>
      </c>
      <c r="C5" s="0" t="s">
        <v>19</v>
      </c>
      <c r="D5" s="7" t="s">
        <v>20</v>
      </c>
      <c r="E5" s="7" t="str">
        <f aca="false">IF(COUNTBLANK(E$4)=0,DEC2HEX(CODE(E$4)),"")</f>
        <v>41</v>
      </c>
      <c r="F5" s="7" t="str">
        <f aca="false">IF(COUNTBLANK(F4)=0,DEC2HEX(CODE(F$4)),"")</f>
        <v>31</v>
      </c>
      <c r="G5" s="7" t="str">
        <f aca="false">IF(COUNTBLANK(G4)=0,DEC2HEX(CODE(G$4)),"")</f>
        <v/>
      </c>
      <c r="H5" s="7" t="str">
        <f aca="false">IF(COUNTBLANK(H4)=0,DEC2HEX(CODE(H$4)),"")</f>
        <v/>
      </c>
      <c r="I5" s="7" t="str">
        <f aca="false">IF(COUNTBLANK(I4)=0,DEC2HEX(CODE(I$4)),"")</f>
        <v/>
      </c>
      <c r="J5" s="7" t="str">
        <f aca="false">IF(COUNTBLANK(J4)=0,DEC2HEX(CODE(J$4)),"")</f>
        <v/>
      </c>
      <c r="K5" s="7" t="str">
        <f aca="false">IF(COUNTBLANK(K4)=0,DEC2HEX(CODE(K$4)),"")</f>
        <v/>
      </c>
      <c r="L5" s="7" t="str">
        <f aca="false">IF(COUNTBLANK(L4)=0,DEC2HEX(CODE(L$4)),"")</f>
        <v/>
      </c>
      <c r="M5" s="7" t="str">
        <f aca="false">IF(COUNTBLANK(M4)=0,DEC2HEX(CODE(M$4)),"")</f>
        <v/>
      </c>
      <c r="N5" s="7" t="str">
        <f aca="false">IF(COUNTBLANK(N4)=0,DEC2HEX(CODE(N$4)),"")</f>
        <v/>
      </c>
      <c r="O5" s="7" t="str">
        <f aca="false">IF(COUNTBLANK(O4)=0,DEC2HEX(CODE(O$4)),"")</f>
        <v/>
      </c>
      <c r="P5" s="7" t="str">
        <f aca="false">IF(COUNTBLANK(P4)=0,DEC2HEX(CODE(P$4)),"")</f>
        <v/>
      </c>
      <c r="Q5" s="7" t="str">
        <f aca="false">IF(COUNTBLANK(Q4)=0,DEC2HEX(CODE(Q$4)),"")</f>
        <v/>
      </c>
      <c r="R5" s="7" t="str">
        <f aca="false">IF(COUNTBLANK(R4)=0,DEC2HEX(CODE(R$4)),"")</f>
        <v/>
      </c>
      <c r="S5" s="7"/>
    </row>
    <row r="6" customFormat="false" ht="12.5" hidden="false" customHeight="false" outlineLevel="0" collapsed="false">
      <c r="D6" s="7" t="s">
        <v>21</v>
      </c>
      <c r="E6" s="8" t="str">
        <f aca="false">HEX2BIN(E5)</f>
        <v>1000001</v>
      </c>
      <c r="F6" s="8" t="str">
        <f aca="false">HEX2BIN(F5)</f>
        <v>110001</v>
      </c>
      <c r="G6" s="8" t="str">
        <f aca="false">HEX2BIN(G5)</f>
        <v>0</v>
      </c>
      <c r="H6" s="8" t="str">
        <f aca="false">HEX2BIN(H5)</f>
        <v>0</v>
      </c>
      <c r="I6" s="8" t="str">
        <f aca="false">HEX2BIN(I5)</f>
        <v>0</v>
      </c>
      <c r="J6" s="8" t="str">
        <f aca="false">HEX2BIN(J5)</f>
        <v>0</v>
      </c>
      <c r="K6" s="8" t="str">
        <f aca="false">HEX2BIN(K5)</f>
        <v>0</v>
      </c>
      <c r="L6" s="8" t="str">
        <f aca="false">HEX2BIN(L5)</f>
        <v>0</v>
      </c>
      <c r="M6" s="8" t="str">
        <f aca="false">HEX2BIN(M5)</f>
        <v>0</v>
      </c>
      <c r="N6" s="8" t="str">
        <f aca="false">HEX2BIN(N5)</f>
        <v>0</v>
      </c>
      <c r="O6" s="8" t="str">
        <f aca="false">HEX2BIN(O5)</f>
        <v>0</v>
      </c>
      <c r="P6" s="8" t="str">
        <f aca="false">HEX2BIN(P5)</f>
        <v>0</v>
      </c>
      <c r="Q6" s="8" t="str">
        <f aca="false">HEX2BIN(Q5)</f>
        <v>0</v>
      </c>
      <c r="R6" s="8" t="str">
        <f aca="false">HEX2BIN(R5)</f>
        <v>0</v>
      </c>
      <c r="S6" s="7"/>
    </row>
    <row r="7" customFormat="false" ht="13" hidden="false" customHeight="false" outlineLevel="0" collapsed="false">
      <c r="D7" s="7" t="s">
        <v>22</v>
      </c>
      <c r="E7" s="9" t="n">
        <f aca="false">IF(COUNTBLANK(E4)=0,CODE(E$4),"")</f>
        <v>65</v>
      </c>
      <c r="F7" s="9" t="n">
        <f aca="false">IF(COUNTBLANK(F4)=0,CODE(F$4),"")</f>
        <v>49</v>
      </c>
      <c r="G7" s="9" t="str">
        <f aca="false">IF(COUNTBLANK(G4)=0,CODE(G$4),"")</f>
        <v/>
      </c>
      <c r="H7" s="9" t="str">
        <f aca="false">IF(COUNTBLANK(H4)=0,CODE(H$4),"")</f>
        <v/>
      </c>
      <c r="I7" s="7" t="str">
        <f aca="false">IF(COUNTBLANK(I4)=0,CODE(I$4),"")</f>
        <v/>
      </c>
      <c r="J7" s="7" t="str">
        <f aca="false">IF(COUNTBLANK(J4)=0,CODE(J$4),"")</f>
        <v/>
      </c>
      <c r="K7" s="7" t="str">
        <f aca="false">IF(COUNTBLANK(K4)=0,CODE(K$4),"")</f>
        <v/>
      </c>
      <c r="L7" s="7" t="str">
        <f aca="false">IF(COUNTBLANK(L4)=0,CODE(L$4),"")</f>
        <v/>
      </c>
      <c r="M7" s="7" t="str">
        <f aca="false">IF(COUNTBLANK(M4)=0,CODE(M$4),"")</f>
        <v/>
      </c>
      <c r="N7" s="7" t="str">
        <f aca="false">IF(COUNTBLANK(N4)=0,CODE(N$4),"")</f>
        <v/>
      </c>
      <c r="O7" s="7" t="str">
        <f aca="false">IF(COUNTBLANK(O4)=0,CODE(O$4),"")</f>
        <v/>
      </c>
      <c r="P7" s="7" t="str">
        <f aca="false">IF(COUNTBLANK(P4)=0,CODE(P$4),"")</f>
        <v/>
      </c>
      <c r="Q7" s="7" t="str">
        <f aca="false">IF(COUNTBLANK(Q4)=0,CODE(Q$4),"")</f>
        <v/>
      </c>
      <c r="R7" s="7" t="str">
        <f aca="false">IF(COUNTBLANK(R4)=0,CODE(R$4),"")</f>
        <v/>
      </c>
      <c r="S7" s="7" t="n">
        <f aca="false">SUM(E7:R7)</f>
        <v>114</v>
      </c>
      <c r="T7" s="0" t="s">
        <v>23</v>
      </c>
    </row>
    <row r="8" customFormat="false" ht="13" hidden="false" customHeight="false" outlineLevel="0" collapsed="false">
      <c r="E8" s="10"/>
      <c r="F8" s="10"/>
      <c r="G8" s="11" t="s">
        <v>24</v>
      </c>
      <c r="H8" s="10" t="n">
        <f aca="false">MOD(S7,256)</f>
        <v>114</v>
      </c>
    </row>
    <row r="9" customFormat="false" ht="14" hidden="false" customHeight="false" outlineLevel="0" collapsed="false">
      <c r="B9" s="0" t="s">
        <v>25</v>
      </c>
      <c r="C9" s="12" t="str">
        <f aca="false">CONCATENATE("$",C5,H22," C/R")</f>
        <v>$A1c C/R</v>
      </c>
      <c r="E9" s="10"/>
      <c r="F9" s="10" t="s">
        <v>26</v>
      </c>
      <c r="G9" s="10"/>
      <c r="H9" s="11" t="str">
        <f aca="false">DEC2BIN(H8,8)</f>
        <v>01110010</v>
      </c>
      <c r="T9" s="13"/>
    </row>
    <row r="10" customFormat="false" ht="13.5" hidden="false" customHeight="false" outlineLevel="0" collapsed="false">
      <c r="E10" s="10" t="s">
        <v>27</v>
      </c>
      <c r="F10" s="10" t="s">
        <v>28</v>
      </c>
      <c r="G10" s="10" t="str">
        <f aca="false">RIGHT(H9,1)</f>
        <v>0</v>
      </c>
      <c r="H10" s="10" t="n">
        <f aca="false">VALUE(G10)</f>
        <v>0</v>
      </c>
    </row>
    <row r="11" customFormat="false" ht="13" hidden="false" customHeight="false" outlineLevel="0" collapsed="false">
      <c r="E11" s="10"/>
      <c r="F11" s="10" t="s">
        <v>29</v>
      </c>
      <c r="G11" s="10" t="str">
        <f aca="false">MID(H9,7,1)</f>
        <v>1</v>
      </c>
      <c r="H11" s="10" t="n">
        <f aca="false">VALUE(G11)</f>
        <v>1</v>
      </c>
    </row>
    <row r="12" customFormat="false" ht="13" hidden="false" customHeight="false" outlineLevel="0" collapsed="false">
      <c r="E12" s="10"/>
      <c r="F12" s="10" t="s">
        <v>30</v>
      </c>
      <c r="G12" s="10" t="str">
        <f aca="false">MID(H9,2,1)</f>
        <v>1</v>
      </c>
      <c r="H12" s="10" t="n">
        <f aca="false">VALUE(G12)</f>
        <v>1</v>
      </c>
    </row>
    <row r="13" customFormat="false" ht="13" hidden="false" customHeight="false" outlineLevel="0" collapsed="false">
      <c r="B13" s="0" t="s">
        <v>31</v>
      </c>
      <c r="E13" s="10" t="s">
        <v>32</v>
      </c>
      <c r="F13" s="10" t="s">
        <v>33</v>
      </c>
      <c r="G13" s="10" t="str">
        <f aca="false">LEFT(H9,1)</f>
        <v>0</v>
      </c>
      <c r="H13" s="10" t="n">
        <f aca="false">VALUE(G13)</f>
        <v>0</v>
      </c>
      <c r="T13" s="14"/>
    </row>
    <row r="14" customFormat="false" ht="13" hidden="false" customHeight="false" outlineLevel="0" collapsed="false">
      <c r="B14" s="0" t="s">
        <v>34</v>
      </c>
      <c r="E14" s="10"/>
      <c r="F14" s="10" t="s">
        <v>35</v>
      </c>
      <c r="G14" s="10" t="str">
        <f aca="false">TEXT(H14,0)</f>
        <v>1</v>
      </c>
      <c r="H14" s="10" t="n">
        <f aca="false">IF(OR(H10+H12=0,H10+H12=2),0,1)</f>
        <v>1</v>
      </c>
    </row>
    <row r="15" customFormat="false" ht="13" hidden="false" customHeight="false" outlineLevel="0" collapsed="false">
      <c r="E15" s="10"/>
      <c r="F15" s="10" t="s">
        <v>36</v>
      </c>
      <c r="G15" s="10" t="str">
        <f aca="false">TEXT(H15,0)</f>
        <v>1</v>
      </c>
      <c r="H15" s="10" t="n">
        <f aca="false">IF(OR(H11+H13=0,H11+H13=2),0,1)</f>
        <v>1</v>
      </c>
    </row>
    <row r="16" customFormat="false" ht="13" hidden="false" customHeight="false" outlineLevel="0" collapsed="false">
      <c r="E16" s="10"/>
      <c r="F16" s="10" t="s">
        <v>37</v>
      </c>
      <c r="G16" s="10" t="str">
        <f aca="false">MID(H9,3,4)</f>
        <v>1100</v>
      </c>
      <c r="H16" s="10"/>
    </row>
    <row r="17" customFormat="false" ht="16" hidden="false" customHeight="false" outlineLevel="0" collapsed="false">
      <c r="A17" s="4"/>
      <c r="E17" s="10"/>
      <c r="F17" s="10" t="s">
        <v>38</v>
      </c>
      <c r="G17" s="10" t="str">
        <f aca="false">CONCATENATE(G16,G15,G14)</f>
        <v>110011</v>
      </c>
      <c r="H17" s="10" t="n">
        <f aca="false">VALUE(G17)</f>
        <v>110011</v>
      </c>
    </row>
    <row r="18" customFormat="false" ht="16" hidden="false" customHeight="false" outlineLevel="0" collapsed="false">
      <c r="A18" s="4"/>
      <c r="E18" s="10"/>
      <c r="F18" s="10" t="s">
        <v>39</v>
      </c>
      <c r="G18" s="10"/>
      <c r="H18" s="11" t="str">
        <f aca="false">BIN2HEX(H17)</f>
        <v>33</v>
      </c>
    </row>
    <row r="19" customFormat="false" ht="16" hidden="false" customHeight="false" outlineLevel="0" collapsed="false">
      <c r="A19" s="4"/>
      <c r="E19" s="10"/>
      <c r="F19" s="10" t="s">
        <v>40</v>
      </c>
      <c r="G19" s="10"/>
      <c r="H19" s="10" t="n">
        <f aca="false">BIN2DEC(H17)</f>
        <v>51</v>
      </c>
    </row>
    <row r="20" customFormat="false" ht="16" hidden="false" customHeight="false" outlineLevel="0" collapsed="false">
      <c r="A20" s="4"/>
      <c r="E20" s="10"/>
      <c r="F20" s="10" t="s">
        <v>41</v>
      </c>
      <c r="G20" s="10"/>
      <c r="H20" s="10" t="n">
        <f aca="false">H19+48</f>
        <v>99</v>
      </c>
    </row>
    <row r="21" customFormat="false" ht="16" hidden="false" customHeight="false" outlineLevel="0" collapsed="false">
      <c r="A21" s="4"/>
      <c r="E21" s="10"/>
      <c r="F21" s="10" t="s">
        <v>42</v>
      </c>
      <c r="G21" s="10"/>
      <c r="H21" s="11" t="str">
        <f aca="false">DEC2HEX(H20)</f>
        <v>63</v>
      </c>
    </row>
    <row r="22" customFormat="false" ht="16" hidden="false" customHeight="false" outlineLevel="0" collapsed="false">
      <c r="A22" s="4"/>
      <c r="E22" s="10"/>
      <c r="F22" s="10" t="s">
        <v>43</v>
      </c>
      <c r="G22" s="10"/>
      <c r="H22" s="11" t="str">
        <f aca="false">CHAR(H20)</f>
        <v>c</v>
      </c>
    </row>
    <row r="23" customFormat="false" ht="15.5" hidden="false" customHeight="false" outlineLevel="0" collapsed="false">
      <c r="A23" s="4" t="s">
        <v>44</v>
      </c>
    </row>
    <row r="24" customFormat="false" ht="12.5" hidden="false" customHeight="false" outlineLevel="0" collapsed="false">
      <c r="B24" s="0" t="s">
        <v>13</v>
      </c>
      <c r="C24" s="5" t="s">
        <v>14</v>
      </c>
      <c r="D24" s="6" t="n">
        <f aca="false">LEN(C26)</f>
        <v>5</v>
      </c>
      <c r="E24" s="7" t="n">
        <v>1</v>
      </c>
      <c r="F24" s="7" t="n">
        <v>2</v>
      </c>
      <c r="G24" s="7" t="n">
        <v>3</v>
      </c>
      <c r="H24" s="7" t="n">
        <v>4</v>
      </c>
      <c r="I24" s="7" t="n">
        <v>5</v>
      </c>
      <c r="J24" s="7" t="n">
        <v>6</v>
      </c>
      <c r="K24" s="7" t="n">
        <v>7</v>
      </c>
      <c r="L24" s="7" t="n">
        <v>8</v>
      </c>
      <c r="M24" s="7" t="n">
        <v>9</v>
      </c>
      <c r="N24" s="7" t="n">
        <v>10</v>
      </c>
      <c r="O24" s="7" t="n">
        <v>11</v>
      </c>
      <c r="P24" s="7" t="n">
        <v>12</v>
      </c>
      <c r="Q24" s="7" t="n">
        <v>13</v>
      </c>
      <c r="R24" s="7" t="n">
        <v>14</v>
      </c>
      <c r="S24" s="7" t="s">
        <v>15</v>
      </c>
    </row>
    <row r="25" customFormat="false" ht="12.5" hidden="false" customHeight="false" outlineLevel="0" collapsed="false">
      <c r="D25" s="7" t="s">
        <v>17</v>
      </c>
      <c r="E25" s="7" t="str">
        <f aca="false">MID($C$26,E$24,1)</f>
        <v>P</v>
      </c>
      <c r="F25" s="7" t="str">
        <f aca="false">MID($C$26,F$24,1)</f>
        <v>0</v>
      </c>
      <c r="G25" s="7" t="str">
        <f aca="false">MID($C$26,G$24,1)</f>
        <v>1</v>
      </c>
      <c r="H25" s="7" t="str">
        <f aca="false">MID($C$26,H$24,1)</f>
        <v>A</v>
      </c>
      <c r="I25" s="7" t="str">
        <f aca="false">MID($C$26,I$24,1)</f>
        <v>1</v>
      </c>
      <c r="J25" s="7" t="str">
        <f aca="false">MID($C$26,J$24,1)</f>
        <v/>
      </c>
      <c r="K25" s="7" t="str">
        <f aca="false">MID($C$26,K$24,1)</f>
        <v/>
      </c>
      <c r="L25" s="7" t="str">
        <f aca="false">MID($C$26,L$24,1)</f>
        <v/>
      </c>
      <c r="M25" s="7" t="str">
        <f aca="false">MID($C$26,M$24,1)</f>
        <v/>
      </c>
      <c r="N25" s="7" t="str">
        <f aca="false">MID($C$26,N$24,1)</f>
        <v/>
      </c>
      <c r="O25" s="7" t="str">
        <f aca="false">MID($C$26,O$24,1)</f>
        <v/>
      </c>
      <c r="P25" s="7" t="str">
        <f aca="false">MID($C$26,P$24,1)</f>
        <v/>
      </c>
      <c r="Q25" s="7" t="str">
        <f aca="false">MID($C$26,Q$24,1)</f>
        <v/>
      </c>
      <c r="R25" s="7" t="str">
        <f aca="false">MID($C$26,R$24,1)</f>
        <v/>
      </c>
      <c r="S25" s="7"/>
    </row>
    <row r="26" customFormat="false" ht="13" hidden="false" customHeight="false" outlineLevel="0" collapsed="false">
      <c r="B26" s="5" t="s">
        <v>18</v>
      </c>
      <c r="C26" s="0" t="s">
        <v>45</v>
      </c>
      <c r="D26" s="7" t="s">
        <v>20</v>
      </c>
      <c r="E26" s="7" t="str">
        <f aca="false">IF(COUNTBLANK(E25)=0,DEC2HEX(CODE(E$25)),"")</f>
        <v>50</v>
      </c>
      <c r="F26" s="7" t="str">
        <f aca="false">IF(COUNTBLANK(F25)=0,DEC2HEX(CODE(F$25)),"")</f>
        <v>30</v>
      </c>
      <c r="G26" s="7" t="str">
        <f aca="false">IF(COUNTBLANK(G25)=0,DEC2HEX(CODE(G$25)),"")</f>
        <v>31</v>
      </c>
      <c r="H26" s="7" t="str">
        <f aca="false">IF(COUNTBLANK(H25)=0,DEC2HEX(CODE(H$25)),"")</f>
        <v>41</v>
      </c>
      <c r="I26" s="7" t="str">
        <f aca="false">IF(COUNTBLANK(I25)=0,DEC2HEX(CODE(I$25)),"")</f>
        <v>31</v>
      </c>
      <c r="J26" s="7" t="str">
        <f aca="false">IF(COUNTBLANK(J25)=0,DEC2HEX(CODE(J$25)),"")</f>
        <v/>
      </c>
      <c r="K26" s="7" t="str">
        <f aca="false">IF(COUNTBLANK(K25)=0,DEC2HEX(CODE(K$25)),"")</f>
        <v/>
      </c>
      <c r="L26" s="7" t="str">
        <f aca="false">IF(COUNTBLANK(L25)=0,DEC2HEX(CODE(L$25)),"")</f>
        <v/>
      </c>
      <c r="M26" s="7" t="str">
        <f aca="false">IF(COUNTBLANK(M25)=0,DEC2HEX(CODE(M$25)),"")</f>
        <v/>
      </c>
      <c r="N26" s="7" t="str">
        <f aca="false">IF(COUNTBLANK(N25)=0,DEC2HEX(CODE(N$25)),"")</f>
        <v/>
      </c>
      <c r="O26" s="7" t="str">
        <f aca="false">IF(COUNTBLANK(O25)=0,DEC2HEX(CODE(O$25)),"")</f>
        <v/>
      </c>
      <c r="P26" s="7" t="str">
        <f aca="false">IF(COUNTBLANK(P25)=0,DEC2HEX(CODE(P$25)),"")</f>
        <v/>
      </c>
      <c r="Q26" s="7" t="str">
        <f aca="false">IF(COUNTBLANK(Q25)=0,DEC2HEX(CODE(Q$25)),"")</f>
        <v/>
      </c>
      <c r="R26" s="7" t="str">
        <f aca="false">IF(COUNTBLANK(R25)=0,DEC2HEX(CODE(R$25)),"")</f>
        <v/>
      </c>
      <c r="S26" s="7"/>
    </row>
    <row r="27" customFormat="false" ht="12.5" hidden="false" customHeight="false" outlineLevel="0" collapsed="false">
      <c r="D27" s="7" t="s">
        <v>21</v>
      </c>
      <c r="E27" s="8" t="str">
        <f aca="false">HEX2BIN(E26)</f>
        <v>1010000</v>
      </c>
      <c r="F27" s="8" t="str">
        <f aca="false">HEX2BIN(F26)</f>
        <v>110000</v>
      </c>
      <c r="G27" s="8" t="str">
        <f aca="false">HEX2BIN(G26)</f>
        <v>110001</v>
      </c>
      <c r="H27" s="8" t="str">
        <f aca="false">HEX2BIN(H26)</f>
        <v>1000001</v>
      </c>
      <c r="I27" s="8" t="str">
        <f aca="false">HEX2BIN(I26)</f>
        <v>110001</v>
      </c>
      <c r="J27" s="8" t="str">
        <f aca="false">HEX2BIN(J26)</f>
        <v>0</v>
      </c>
      <c r="K27" s="8" t="str">
        <f aca="false">HEX2BIN(K26)</f>
        <v>0</v>
      </c>
      <c r="L27" s="8" t="str">
        <f aca="false">HEX2BIN(L26)</f>
        <v>0</v>
      </c>
      <c r="M27" s="8" t="str">
        <f aca="false">HEX2BIN(M26)</f>
        <v>0</v>
      </c>
      <c r="N27" s="8" t="str">
        <f aca="false">HEX2BIN(N26)</f>
        <v>0</v>
      </c>
      <c r="O27" s="8" t="str">
        <f aca="false">HEX2BIN(O26)</f>
        <v>0</v>
      </c>
      <c r="P27" s="8" t="str">
        <f aca="false">HEX2BIN(P26)</f>
        <v>0</v>
      </c>
      <c r="Q27" s="8" t="str">
        <f aca="false">HEX2BIN(Q26)</f>
        <v>0</v>
      </c>
      <c r="R27" s="8" t="str">
        <f aca="false">HEX2BIN(R26)</f>
        <v>0</v>
      </c>
      <c r="S27" s="7"/>
    </row>
    <row r="28" customFormat="false" ht="13" hidden="false" customHeight="false" outlineLevel="0" collapsed="false">
      <c r="D28" s="7" t="s">
        <v>22</v>
      </c>
      <c r="E28" s="9" t="n">
        <f aca="false">IF(COUNTBLANK(E25)=0,CODE(E$25),"")</f>
        <v>80</v>
      </c>
      <c r="F28" s="9" t="n">
        <f aca="false">IF(COUNTBLANK(F25)=0,CODE(F$25),"")</f>
        <v>48</v>
      </c>
      <c r="G28" s="9" t="n">
        <f aca="false">IF(COUNTBLANK(G25)=0,CODE(G$25),"")</f>
        <v>49</v>
      </c>
      <c r="H28" s="9" t="n">
        <f aca="false">IF(COUNTBLANK(H25)=0,CODE(H$25),"")</f>
        <v>65</v>
      </c>
      <c r="I28" s="7" t="n">
        <f aca="false">IF(COUNTBLANK(I25)=0,CODE(I$25),"")</f>
        <v>49</v>
      </c>
      <c r="J28" s="7" t="str">
        <f aca="false">IF(COUNTBLANK(J25)=0,CODE(J$25),"")</f>
        <v/>
      </c>
      <c r="K28" s="7" t="str">
        <f aca="false">IF(COUNTBLANK(K25)=0,CODE(K$25),"")</f>
        <v/>
      </c>
      <c r="L28" s="7" t="str">
        <f aca="false">IF(COUNTBLANK(L25)=0,CODE(L$25),"")</f>
        <v/>
      </c>
      <c r="M28" s="7" t="str">
        <f aca="false">IF(COUNTBLANK(M25)=0,CODE(M$25),"")</f>
        <v/>
      </c>
      <c r="N28" s="7" t="str">
        <f aca="false">IF(COUNTBLANK(N25)=0,CODE(N$25),"")</f>
        <v/>
      </c>
      <c r="O28" s="7" t="str">
        <f aca="false">IF(COUNTBLANK(O25)=0,CODE(O$25),"")</f>
        <v/>
      </c>
      <c r="P28" s="7" t="str">
        <f aca="false">IF(COUNTBLANK(P25)=0,CODE(P$25),"")</f>
        <v/>
      </c>
      <c r="Q28" s="7" t="str">
        <f aca="false">IF(COUNTBLANK(Q25)=0,CODE(Q$25),"")</f>
        <v/>
      </c>
      <c r="R28" s="7" t="str">
        <f aca="false">IF(COUNTBLANK(R25)=0,CODE(R$25),"")</f>
        <v/>
      </c>
      <c r="S28" s="7" t="n">
        <f aca="false">SUM(E28:R28)</f>
        <v>291</v>
      </c>
      <c r="T28" s="0" t="s">
        <v>23</v>
      </c>
    </row>
    <row r="29" customFormat="false" ht="13" hidden="false" customHeight="false" outlineLevel="0" collapsed="false">
      <c r="E29" s="10"/>
      <c r="F29" s="10"/>
      <c r="G29" s="11" t="s">
        <v>24</v>
      </c>
      <c r="H29" s="10" t="n">
        <f aca="false">MOD(S28,256)</f>
        <v>35</v>
      </c>
    </row>
    <row r="30" customFormat="false" ht="14" hidden="false" customHeight="false" outlineLevel="0" collapsed="false">
      <c r="B30" s="0" t="s">
        <v>25</v>
      </c>
      <c r="C30" s="12" t="str">
        <f aca="false">CONCATENATE("$",C26,H43," C/R")</f>
        <v>$P01A1S C/R</v>
      </c>
      <c r="E30" s="10"/>
      <c r="F30" s="10" t="s">
        <v>26</v>
      </c>
      <c r="G30" s="10"/>
      <c r="H30" s="11" t="str">
        <f aca="false">DEC2BIN(H29,8)</f>
        <v>00100011</v>
      </c>
      <c r="T30" s="13"/>
    </row>
    <row r="31" customFormat="false" ht="14" hidden="false" customHeight="false" outlineLevel="0" collapsed="false">
      <c r="B31" s="15" t="s">
        <v>46</v>
      </c>
      <c r="C31" s="16"/>
      <c r="E31" s="10" t="s">
        <v>27</v>
      </c>
      <c r="F31" s="10" t="s">
        <v>28</v>
      </c>
      <c r="G31" s="10" t="str">
        <f aca="false">RIGHT(H30,1)</f>
        <v>1</v>
      </c>
      <c r="H31" s="10" t="n">
        <f aca="false">VALUE(G31)</f>
        <v>1</v>
      </c>
    </row>
    <row r="32" customFormat="false" ht="13.5" hidden="false" customHeight="false" outlineLevel="0" collapsed="false">
      <c r="C32" s="0" t="s">
        <v>47</v>
      </c>
      <c r="D32" s="17"/>
      <c r="E32" s="10"/>
      <c r="F32" s="10" t="s">
        <v>29</v>
      </c>
      <c r="G32" s="10" t="str">
        <f aca="false">MID(H30,7,1)</f>
        <v>1</v>
      </c>
      <c r="H32" s="10" t="n">
        <f aca="false">VALUE(G32)</f>
        <v>1</v>
      </c>
    </row>
    <row r="33" customFormat="false" ht="13" hidden="false" customHeight="false" outlineLevel="0" collapsed="false">
      <c r="B33" s="0" t="s">
        <v>48</v>
      </c>
      <c r="E33" s="10"/>
      <c r="F33" s="10" t="s">
        <v>30</v>
      </c>
      <c r="G33" s="10" t="str">
        <f aca="false">MID(H30,2,1)</f>
        <v>0</v>
      </c>
      <c r="H33" s="10" t="n">
        <f aca="false">VALUE(G33)</f>
        <v>0</v>
      </c>
    </row>
    <row r="34" customFormat="false" ht="13" hidden="false" customHeight="false" outlineLevel="0" collapsed="false">
      <c r="B34" s="0" t="s">
        <v>31</v>
      </c>
      <c r="E34" s="10" t="s">
        <v>32</v>
      </c>
      <c r="F34" s="10" t="s">
        <v>33</v>
      </c>
      <c r="G34" s="10" t="str">
        <f aca="false">LEFT(H30,1)</f>
        <v>0</v>
      </c>
      <c r="H34" s="10" t="n">
        <f aca="false">VALUE(G34)</f>
        <v>0</v>
      </c>
      <c r="T34" s="14"/>
    </row>
    <row r="35" customFormat="false" ht="13" hidden="false" customHeight="false" outlineLevel="0" collapsed="false">
      <c r="B35" s="0" t="s">
        <v>34</v>
      </c>
      <c r="E35" s="10"/>
      <c r="F35" s="10" t="s">
        <v>35</v>
      </c>
      <c r="G35" s="10" t="str">
        <f aca="false">TEXT(H35,0)</f>
        <v>1</v>
      </c>
      <c r="H35" s="10" t="n">
        <f aca="false">IF(OR(H31+H33=0,H31+H33=2),0,1)</f>
        <v>1</v>
      </c>
    </row>
    <row r="36" customFormat="false" ht="13" hidden="false" customHeight="false" outlineLevel="0" collapsed="false">
      <c r="E36" s="10"/>
      <c r="F36" s="10" t="s">
        <v>36</v>
      </c>
      <c r="G36" s="10" t="str">
        <f aca="false">TEXT(H36,0)</f>
        <v>1</v>
      </c>
      <c r="H36" s="10" t="n">
        <f aca="false">IF(OR(H32+H34=0,H32+H34=2),0,1)</f>
        <v>1</v>
      </c>
    </row>
    <row r="37" customFormat="false" ht="13" hidden="false" customHeight="false" outlineLevel="0" collapsed="false">
      <c r="E37" s="10"/>
      <c r="F37" s="10" t="s">
        <v>37</v>
      </c>
      <c r="G37" s="10" t="str">
        <f aca="false">MID(H30,3,4)</f>
        <v>1000</v>
      </c>
      <c r="H37" s="10"/>
    </row>
    <row r="38" customFormat="false" ht="13" hidden="false" customHeight="false" outlineLevel="0" collapsed="false">
      <c r="E38" s="10"/>
      <c r="F38" s="10" t="s">
        <v>38</v>
      </c>
      <c r="G38" s="10" t="str">
        <f aca="false">CONCATENATE(G37,G36,G35)</f>
        <v>100011</v>
      </c>
      <c r="H38" s="10" t="n">
        <f aca="false">VALUE(G38)</f>
        <v>100011</v>
      </c>
    </row>
    <row r="39" customFormat="false" ht="13" hidden="false" customHeight="false" outlineLevel="0" collapsed="false">
      <c r="E39" s="10"/>
      <c r="F39" s="10" t="s">
        <v>39</v>
      </c>
      <c r="G39" s="10"/>
      <c r="H39" s="11" t="str">
        <f aca="false">BIN2HEX(H38)</f>
        <v>23</v>
      </c>
    </row>
    <row r="40" customFormat="false" ht="13" hidden="false" customHeight="false" outlineLevel="0" collapsed="false">
      <c r="E40" s="10"/>
      <c r="F40" s="10" t="s">
        <v>40</v>
      </c>
      <c r="G40" s="10"/>
      <c r="H40" s="10" t="n">
        <f aca="false">BIN2DEC(H38)</f>
        <v>35</v>
      </c>
    </row>
    <row r="41" customFormat="false" ht="13" hidden="false" customHeight="false" outlineLevel="0" collapsed="false">
      <c r="E41" s="10"/>
      <c r="F41" s="10" t="s">
        <v>41</v>
      </c>
      <c r="G41" s="10"/>
      <c r="H41" s="10" t="n">
        <f aca="false">H40+48</f>
        <v>83</v>
      </c>
    </row>
    <row r="42" customFormat="false" ht="13" hidden="false" customHeight="false" outlineLevel="0" collapsed="false">
      <c r="E42" s="10"/>
      <c r="F42" s="10" t="s">
        <v>42</v>
      </c>
      <c r="G42" s="10"/>
      <c r="H42" s="11" t="str">
        <f aca="false">DEC2HEX(H41)</f>
        <v>53</v>
      </c>
    </row>
    <row r="43" customFormat="false" ht="13" hidden="false" customHeight="false" outlineLevel="0" collapsed="false">
      <c r="E43" s="10"/>
      <c r="F43" s="10" t="s">
        <v>43</v>
      </c>
      <c r="G43" s="10"/>
      <c r="H43" s="11" t="str">
        <f aca="false">CHAR(H41)</f>
        <v>S</v>
      </c>
    </row>
    <row r="46" customFormat="false" ht="15.5" hidden="false" customHeight="false" outlineLevel="0" collapsed="false">
      <c r="A46" s="4" t="s">
        <v>49</v>
      </c>
    </row>
    <row r="47" customFormat="false" ht="12.5" hidden="false" customHeight="false" outlineLevel="0" collapsed="false">
      <c r="B47" s="0" t="s">
        <v>13</v>
      </c>
      <c r="C47" s="5" t="s">
        <v>14</v>
      </c>
      <c r="D47" s="6" t="n">
        <f aca="false">LEN(C49)</f>
        <v>7</v>
      </c>
      <c r="E47" s="7" t="n">
        <v>1</v>
      </c>
      <c r="F47" s="7" t="n">
        <v>2</v>
      </c>
      <c r="G47" s="7" t="n">
        <v>3</v>
      </c>
      <c r="H47" s="7" t="n">
        <v>4</v>
      </c>
      <c r="I47" s="7" t="n">
        <v>5</v>
      </c>
      <c r="J47" s="7" t="n">
        <v>6</v>
      </c>
      <c r="K47" s="7" t="n">
        <v>7</v>
      </c>
      <c r="L47" s="7" t="n">
        <v>8</v>
      </c>
      <c r="M47" s="7" t="n">
        <v>9</v>
      </c>
      <c r="N47" s="7" t="n">
        <v>10</v>
      </c>
      <c r="O47" s="7" t="n">
        <v>11</v>
      </c>
      <c r="P47" s="7" t="n">
        <v>12</v>
      </c>
      <c r="Q47" s="7" t="n">
        <v>13</v>
      </c>
      <c r="R47" s="7" t="n">
        <v>14</v>
      </c>
      <c r="S47" s="7" t="s">
        <v>15</v>
      </c>
    </row>
    <row r="48" customFormat="false" ht="12.5" hidden="false" customHeight="false" outlineLevel="0" collapsed="false">
      <c r="D48" s="7" t="s">
        <v>17</v>
      </c>
      <c r="E48" s="7" t="str">
        <f aca="false">MID($C$49,E$47,1)</f>
        <v>N</v>
      </c>
      <c r="F48" s="7" t="str">
        <f aca="false">MID($C$49,F$47,1)</f>
        <v>l</v>
      </c>
      <c r="G48" s="7" t="str">
        <f aca="false">MID($C$49,G$47,1)</f>
        <v>A</v>
      </c>
      <c r="H48" s="7" t="str">
        <f aca="false">MID($C$49,H$47,1)</f>
        <v>W</v>
      </c>
      <c r="I48" s="7" t="str">
        <f aca="false">MID($C$49,I$47,1)</f>
        <v>o</v>
      </c>
      <c r="J48" s="7" t="str">
        <f aca="false">MID($C$49,J$47,1)</f>
        <v>w</v>
      </c>
      <c r="K48" s="7" t="str">
        <f aca="false">MID($C$49,K$47,1)</f>
        <v>!</v>
      </c>
      <c r="L48" s="7" t="str">
        <f aca="false">MID($C$49,L$47,1)</f>
        <v/>
      </c>
      <c r="M48" s="7" t="str">
        <f aca="false">MID($C$49,M$47,1)</f>
        <v/>
      </c>
      <c r="N48" s="7" t="str">
        <f aca="false">MID($C$49,N$47,1)</f>
        <v/>
      </c>
      <c r="O48" s="7" t="str">
        <f aca="false">MID($C$49,O$47,1)</f>
        <v/>
      </c>
      <c r="P48" s="7" t="str">
        <f aca="false">MID($C$49,P$47,1)</f>
        <v/>
      </c>
      <c r="Q48" s="7" t="str">
        <f aca="false">MID($C$49,Q$47,1)</f>
        <v/>
      </c>
      <c r="R48" s="7" t="str">
        <f aca="false">MID($C$49,R$47,1)</f>
        <v/>
      </c>
      <c r="S48" s="7"/>
    </row>
    <row r="49" customFormat="false" ht="13" hidden="false" customHeight="false" outlineLevel="0" collapsed="false">
      <c r="B49" s="5" t="s">
        <v>18</v>
      </c>
      <c r="C49" s="0" t="s">
        <v>50</v>
      </c>
      <c r="D49" s="7" t="s">
        <v>20</v>
      </c>
      <c r="E49" s="7" t="str">
        <f aca="false">IF(COUNTBLANK(E48)=0,DEC2HEX(CODE(E$48)),"")</f>
        <v>4E</v>
      </c>
      <c r="F49" s="7" t="str">
        <f aca="false">IF(COUNTBLANK(F48)=0,DEC2HEX(CODE(F$48)),"")</f>
        <v>6C</v>
      </c>
      <c r="G49" s="7" t="str">
        <f aca="false">IF(COUNTBLANK(G48)=0,DEC2HEX(CODE(G$48)),"")</f>
        <v>41</v>
      </c>
      <c r="H49" s="7" t="str">
        <f aca="false">IF(COUNTBLANK(H48)=0,DEC2HEX(CODE(H$48)),"")</f>
        <v>57</v>
      </c>
      <c r="I49" s="7" t="str">
        <f aca="false">IF(COUNTBLANK(I48)=0,DEC2HEX(CODE(I$48)),"")</f>
        <v>6F</v>
      </c>
      <c r="J49" s="7" t="str">
        <f aca="false">IF(COUNTBLANK(J48)=0,DEC2HEX(CODE(J$48)),"")</f>
        <v>77</v>
      </c>
      <c r="K49" s="7" t="str">
        <f aca="false">IF(COUNTBLANK(K48)=0,DEC2HEX(CODE(K$48)),"")</f>
        <v>21</v>
      </c>
      <c r="L49" s="7" t="str">
        <f aca="false">IF(COUNTBLANK(L48)=0,DEC2HEX(CODE(L$48)),"")</f>
        <v/>
      </c>
      <c r="M49" s="7" t="str">
        <f aca="false">IF(COUNTBLANK(M48)=0,DEC2HEX(CODE(M$48)),"")</f>
        <v/>
      </c>
      <c r="N49" s="7" t="str">
        <f aca="false">IF(COUNTBLANK(N48)=0,DEC2HEX(CODE(N$48)),"")</f>
        <v/>
      </c>
      <c r="O49" s="7" t="str">
        <f aca="false">IF(COUNTBLANK(O48)=0,DEC2HEX(CODE(O$48)),"")</f>
        <v/>
      </c>
      <c r="P49" s="7" t="str">
        <f aca="false">IF(COUNTBLANK(P48)=0,DEC2HEX(CODE(P$48)),"")</f>
        <v/>
      </c>
      <c r="Q49" s="7" t="str">
        <f aca="false">IF(COUNTBLANK(Q48)=0,DEC2HEX(CODE(Q$48)),"")</f>
        <v/>
      </c>
      <c r="R49" s="7" t="str">
        <f aca="false">IF(COUNTBLANK(R48)=0,DEC2HEX(CODE(R$48)),"")</f>
        <v/>
      </c>
      <c r="S49" s="7"/>
    </row>
    <row r="50" customFormat="false" ht="12.5" hidden="false" customHeight="false" outlineLevel="0" collapsed="false">
      <c r="D50" s="7" t="s">
        <v>21</v>
      </c>
      <c r="E50" s="8" t="str">
        <f aca="false">HEX2BIN(E49)</f>
        <v>1001110</v>
      </c>
      <c r="F50" s="8" t="str">
        <f aca="false">HEX2BIN(F49)</f>
        <v>1101100</v>
      </c>
      <c r="G50" s="8" t="str">
        <f aca="false">HEX2BIN(G49)</f>
        <v>1000001</v>
      </c>
      <c r="H50" s="8" t="str">
        <f aca="false">HEX2BIN(H49)</f>
        <v>1010111</v>
      </c>
      <c r="I50" s="8" t="str">
        <f aca="false">HEX2BIN(I49)</f>
        <v>1101111</v>
      </c>
      <c r="J50" s="8" t="str">
        <f aca="false">HEX2BIN(J49)</f>
        <v>1110111</v>
      </c>
      <c r="K50" s="8" t="str">
        <f aca="false">HEX2BIN(K49)</f>
        <v>100001</v>
      </c>
      <c r="L50" s="8" t="str">
        <f aca="false">HEX2BIN(L49)</f>
        <v>0</v>
      </c>
      <c r="M50" s="8" t="str">
        <f aca="false">HEX2BIN(M49)</f>
        <v>0</v>
      </c>
      <c r="N50" s="8" t="str">
        <f aca="false">HEX2BIN(N49)</f>
        <v>0</v>
      </c>
      <c r="O50" s="8" t="str">
        <f aca="false">HEX2BIN(O49)</f>
        <v>0</v>
      </c>
      <c r="P50" s="8" t="str">
        <f aca="false">HEX2BIN(P49)</f>
        <v>0</v>
      </c>
      <c r="Q50" s="8" t="str">
        <f aca="false">HEX2BIN(Q49)</f>
        <v>0</v>
      </c>
      <c r="R50" s="8" t="str">
        <f aca="false">HEX2BIN(R49)</f>
        <v>0</v>
      </c>
      <c r="S50" s="7"/>
    </row>
    <row r="51" customFormat="false" ht="13" hidden="false" customHeight="false" outlineLevel="0" collapsed="false">
      <c r="D51" s="7" t="s">
        <v>22</v>
      </c>
      <c r="E51" s="9" t="n">
        <f aca="false">IF(COUNTBLANK(E48)=0,CODE(E$48),"")</f>
        <v>78</v>
      </c>
      <c r="F51" s="9" t="n">
        <f aca="false">IF(COUNTBLANK(F48)=0,CODE(F$48),"")</f>
        <v>108</v>
      </c>
      <c r="G51" s="9" t="n">
        <f aca="false">IF(COUNTBLANK(G48)=0,CODE(G$48),"")</f>
        <v>65</v>
      </c>
      <c r="H51" s="9" t="n">
        <f aca="false">IF(COUNTBLANK(H48)=0,CODE(H$48),"")</f>
        <v>87</v>
      </c>
      <c r="I51" s="9" t="n">
        <f aca="false">IF(COUNTBLANK(I48)=0,CODE(I$48),"")</f>
        <v>111</v>
      </c>
      <c r="J51" s="9" t="n">
        <f aca="false">IF(COUNTBLANK(J48)=0,CODE(J$48),"")</f>
        <v>119</v>
      </c>
      <c r="K51" s="9" t="n">
        <f aca="false">IF(COUNTBLANK(K48)=0,CODE(K$48),"")</f>
        <v>33</v>
      </c>
      <c r="L51" s="9" t="str">
        <f aca="false">IF(COUNTBLANK(L48)=0,CODE(L$48),"")</f>
        <v/>
      </c>
      <c r="M51" s="9" t="str">
        <f aca="false">IF(COUNTBLANK(M48)=0,CODE(M$48),"")</f>
        <v/>
      </c>
      <c r="N51" s="9" t="str">
        <f aca="false">IF(COUNTBLANK(N48)=0,CODE(N$48),"")</f>
        <v/>
      </c>
      <c r="O51" s="9" t="str">
        <f aca="false">IF(COUNTBLANK(O48)=0,CODE(O$48),"")</f>
        <v/>
      </c>
      <c r="P51" s="9" t="str">
        <f aca="false">IF(COUNTBLANK(P48)=0,CODE(P$48),"")</f>
        <v/>
      </c>
      <c r="Q51" s="9" t="str">
        <f aca="false">IF(COUNTBLANK(Q48)=0,CODE(Q$48),"")</f>
        <v/>
      </c>
      <c r="R51" s="9" t="str">
        <f aca="false">IF(COUNTBLANK(R48)=0,CODE(R$48),"")</f>
        <v/>
      </c>
      <c r="S51" s="7" t="n">
        <f aca="false">SUM(E51:R51)</f>
        <v>601</v>
      </c>
      <c r="T51" s="0" t="s">
        <v>23</v>
      </c>
    </row>
    <row r="52" customFormat="false" ht="13" hidden="false" customHeight="false" outlineLevel="0" collapsed="false">
      <c r="E52" s="10"/>
      <c r="F52" s="10"/>
      <c r="G52" s="11" t="s">
        <v>24</v>
      </c>
      <c r="H52" s="10" t="n">
        <f aca="false">MOD(S51,256)</f>
        <v>89</v>
      </c>
    </row>
    <row r="53" customFormat="false" ht="14" hidden="false" customHeight="false" outlineLevel="0" collapsed="false">
      <c r="B53" s="0" t="s">
        <v>25</v>
      </c>
      <c r="C53" s="12" t="str">
        <f aca="false">CONCATENATE("$",C49,H66," C/R")</f>
        <v>$NlAWow!H C/R</v>
      </c>
      <c r="E53" s="10"/>
      <c r="F53" s="10" t="s">
        <v>26</v>
      </c>
      <c r="G53" s="10"/>
      <c r="H53" s="11" t="str">
        <f aca="false">DEC2BIN(H52,8)</f>
        <v>01011001</v>
      </c>
      <c r="T53" s="13"/>
    </row>
    <row r="54" customFormat="false" ht="14" hidden="false" customHeight="false" outlineLevel="0" collapsed="false">
      <c r="B54" s="15" t="s">
        <v>51</v>
      </c>
      <c r="C54" s="16"/>
      <c r="E54" s="10" t="s">
        <v>27</v>
      </c>
      <c r="F54" s="10" t="s">
        <v>28</v>
      </c>
      <c r="G54" s="10" t="str">
        <f aca="false">RIGHT(H53,1)</f>
        <v>1</v>
      </c>
      <c r="H54" s="10" t="n">
        <f aca="false">VALUE(G54)</f>
        <v>1</v>
      </c>
    </row>
    <row r="55" customFormat="false" ht="13.5" hidden="false" customHeight="false" outlineLevel="0" collapsed="false">
      <c r="C55" s="0" t="s">
        <v>52</v>
      </c>
      <c r="D55" s="17"/>
      <c r="E55" s="10"/>
      <c r="F55" s="10" t="s">
        <v>29</v>
      </c>
      <c r="G55" s="10" t="str">
        <f aca="false">MID(H53,7,1)</f>
        <v>0</v>
      </c>
      <c r="H55" s="10" t="n">
        <f aca="false">VALUE(G55)</f>
        <v>0</v>
      </c>
    </row>
    <row r="56" customFormat="false" ht="13" hidden="false" customHeight="false" outlineLevel="0" collapsed="false">
      <c r="B56" s="0" t="s">
        <v>53</v>
      </c>
      <c r="E56" s="10"/>
      <c r="F56" s="10" t="s">
        <v>30</v>
      </c>
      <c r="G56" s="10" t="str">
        <f aca="false">MID(H53,2,1)</f>
        <v>1</v>
      </c>
      <c r="H56" s="10" t="n">
        <f aca="false">VALUE(G56)</f>
        <v>1</v>
      </c>
    </row>
    <row r="57" customFormat="false" ht="13" hidden="false" customHeight="false" outlineLevel="0" collapsed="false">
      <c r="B57" s="0" t="s">
        <v>31</v>
      </c>
      <c r="E57" s="10" t="s">
        <v>32</v>
      </c>
      <c r="F57" s="10" t="s">
        <v>33</v>
      </c>
      <c r="G57" s="10" t="str">
        <f aca="false">LEFT(H53,1)</f>
        <v>0</v>
      </c>
      <c r="H57" s="10" t="n">
        <f aca="false">VALUE(G57)</f>
        <v>0</v>
      </c>
      <c r="T57" s="14"/>
    </row>
    <row r="58" customFormat="false" ht="13" hidden="false" customHeight="false" outlineLevel="0" collapsed="false">
      <c r="B58" s="0" t="s">
        <v>34</v>
      </c>
      <c r="E58" s="10"/>
      <c r="F58" s="10" t="s">
        <v>35</v>
      </c>
      <c r="G58" s="10" t="str">
        <f aca="false">TEXT(H58,0)</f>
        <v>0</v>
      </c>
      <c r="H58" s="10" t="n">
        <f aca="false">IF(OR(H54+H56=0,H54+H56=2),0,1)</f>
        <v>0</v>
      </c>
    </row>
    <row r="59" customFormat="false" ht="13" hidden="false" customHeight="false" outlineLevel="0" collapsed="false">
      <c r="E59" s="10"/>
      <c r="F59" s="10" t="s">
        <v>36</v>
      </c>
      <c r="G59" s="10" t="str">
        <f aca="false">TEXT(H59,0)</f>
        <v>0</v>
      </c>
      <c r="H59" s="10" t="n">
        <f aca="false">IF(OR(H55+H57=0,H55+H57=2),0,1)</f>
        <v>0</v>
      </c>
    </row>
    <row r="60" customFormat="false" ht="13" hidden="false" customHeight="false" outlineLevel="0" collapsed="false">
      <c r="E60" s="10"/>
      <c r="F60" s="10" t="s">
        <v>37</v>
      </c>
      <c r="G60" s="10" t="str">
        <f aca="false">MID(H53,3,4)</f>
        <v>0110</v>
      </c>
      <c r="H60" s="10"/>
    </row>
    <row r="61" customFormat="false" ht="13" hidden="false" customHeight="false" outlineLevel="0" collapsed="false">
      <c r="E61" s="10"/>
      <c r="F61" s="10" t="s">
        <v>38</v>
      </c>
      <c r="G61" s="10" t="str">
        <f aca="false">CONCATENATE(G60,G59,G58)</f>
        <v>011000</v>
      </c>
      <c r="H61" s="10" t="n">
        <f aca="false">VALUE(G61)</f>
        <v>11000</v>
      </c>
    </row>
    <row r="62" customFormat="false" ht="13" hidden="false" customHeight="false" outlineLevel="0" collapsed="false">
      <c r="E62" s="10"/>
      <c r="F62" s="10" t="s">
        <v>39</v>
      </c>
      <c r="G62" s="10"/>
      <c r="H62" s="11" t="str">
        <f aca="false">BIN2HEX(H61)</f>
        <v>18</v>
      </c>
    </row>
    <row r="63" customFormat="false" ht="13" hidden="false" customHeight="false" outlineLevel="0" collapsed="false">
      <c r="E63" s="10"/>
      <c r="F63" s="10" t="s">
        <v>40</v>
      </c>
      <c r="G63" s="10"/>
      <c r="H63" s="10" t="n">
        <f aca="false">BIN2DEC(H61)</f>
        <v>24</v>
      </c>
    </row>
    <row r="64" customFormat="false" ht="13" hidden="false" customHeight="false" outlineLevel="0" collapsed="false">
      <c r="E64" s="10"/>
      <c r="F64" s="10" t="s">
        <v>41</v>
      </c>
      <c r="G64" s="10"/>
      <c r="H64" s="10" t="n">
        <f aca="false">H63+48</f>
        <v>72</v>
      </c>
    </row>
    <row r="65" customFormat="false" ht="13" hidden="false" customHeight="false" outlineLevel="0" collapsed="false">
      <c r="E65" s="10"/>
      <c r="F65" s="10" t="s">
        <v>42</v>
      </c>
      <c r="G65" s="10"/>
      <c r="H65" s="11" t="str">
        <f aca="false">DEC2HEX(H64)</f>
        <v>48</v>
      </c>
    </row>
    <row r="66" customFormat="false" ht="13" hidden="false" customHeight="false" outlineLevel="0" collapsed="false">
      <c r="E66" s="10"/>
      <c r="F66" s="10" t="s">
        <v>43</v>
      </c>
      <c r="G66" s="10"/>
      <c r="H66" s="11" t="str">
        <f aca="false">CHAR(H64)</f>
        <v>H</v>
      </c>
    </row>
  </sheetData>
  <printOptions headings="false" gridLines="false" gridLinesSet="true" horizontalCentered="false" verticalCentered="false"/>
  <pageMargins left="0.5" right="0.5" top="0.5" bottom="0.5" header="0.511805555555555" footer="0.511805555555555"/>
  <pageSetup paperSize="1" scale="100" firstPageNumber="0" fitToWidth="1" fitToHeight="1" pageOrder="downThenOver" orientation="landscape" usePrinterDefaults="false"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true"/>
  </sheetPr>
  <dimension ref="A1:K164"/>
  <sheetViews>
    <sheetView windowProtection="true"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100" activePane="bottomLeft" state="frozen"/>
      <selection pane="topLeft" activeCell="A1" activeCellId="0" sqref="A1"/>
      <selection pane="bottomLeft" activeCell="F112" activeCellId="0" sqref="F112"/>
    </sheetView>
  </sheetViews>
  <sheetFormatPr defaultRowHeight="12.5"/>
  <cols>
    <col collapsed="false" hidden="false" max="1" min="1" style="18" width="16.0918367346939"/>
    <col collapsed="false" hidden="false" max="2" min="2" style="19" width="11.4489795918367"/>
    <col collapsed="false" hidden="false" max="4" min="3" style="18" width="8.20918367346939"/>
    <col collapsed="false" hidden="false" max="5" min="5" style="20" width="12.9591836734694"/>
    <col collapsed="false" hidden="false" max="6" min="6" style="20" width="35.3163265306122"/>
    <col collapsed="false" hidden="false" max="7" min="7" style="21" width="19.0051020408163"/>
    <col collapsed="false" hidden="false" max="8" min="8" style="21" width="15.765306122449"/>
    <col collapsed="false" hidden="false" max="9" min="9" style="21" width="10.8010204081633"/>
    <col collapsed="false" hidden="false" max="10" min="10" style="22" width="45.3571428571429"/>
    <col collapsed="false" hidden="false" max="11" min="11" style="20" width="30.6683673469388"/>
    <col collapsed="false" hidden="false" max="1025" min="12" style="18" width="8.20918367346939"/>
  </cols>
  <sheetData>
    <row r="1" customFormat="false" ht="13" hidden="false" customHeight="false" outlineLevel="0" collapsed="false">
      <c r="A1" s="0"/>
      <c r="B1" s="0"/>
      <c r="C1" s="0"/>
      <c r="D1" s="0"/>
      <c r="E1" s="0"/>
      <c r="F1" s="0"/>
      <c r="G1" s="0"/>
      <c r="H1" s="0"/>
      <c r="I1" s="0"/>
      <c r="J1" s="23" t="s">
        <v>54</v>
      </c>
      <c r="K1" s="0"/>
    </row>
    <row r="2" customFormat="false" ht="15.5" hidden="false" customHeight="false" outlineLevel="0" collapsed="false">
      <c r="A2" s="24" t="s">
        <v>55</v>
      </c>
      <c r="B2" s="0"/>
      <c r="C2" s="0"/>
      <c r="D2" s="0"/>
      <c r="E2" s="0"/>
      <c r="F2" s="20" t="s">
        <v>56</v>
      </c>
      <c r="G2" s="0"/>
      <c r="H2" s="0"/>
      <c r="I2" s="0"/>
      <c r="J2" s="25" t="s">
        <v>57</v>
      </c>
      <c r="K2" s="0"/>
    </row>
    <row r="3" customFormat="false" ht="13" hidden="false" customHeight="false" outlineLevel="0" collapsed="false">
      <c r="A3" s="18" t="s">
        <v>58</v>
      </c>
      <c r="B3" s="0"/>
      <c r="C3" s="0"/>
      <c r="D3" s="26"/>
      <c r="E3" s="27"/>
      <c r="F3" s="0"/>
      <c r="G3" s="0"/>
      <c r="H3" s="0"/>
      <c r="I3" s="0"/>
      <c r="J3" s="28" t="s">
        <v>59</v>
      </c>
      <c r="K3" s="29"/>
    </row>
    <row r="4" customFormat="false" ht="14.25" hidden="false" customHeight="true" outlineLevel="0" collapsed="false">
      <c r="A4" s="30" t="s">
        <v>60</v>
      </c>
      <c r="B4" s="31" t="s">
        <v>61</v>
      </c>
      <c r="C4" s="32" t="s">
        <v>62</v>
      </c>
      <c r="D4" s="33" t="s">
        <v>20</v>
      </c>
      <c r="E4" s="34" t="s">
        <v>63</v>
      </c>
      <c r="F4" s="35" t="s">
        <v>64</v>
      </c>
      <c r="G4" s="36" t="s">
        <v>65</v>
      </c>
      <c r="H4" s="37" t="s">
        <v>66</v>
      </c>
      <c r="I4" s="0"/>
      <c r="J4" s="38" t="s">
        <v>67</v>
      </c>
      <c r="K4" s="39" t="s">
        <v>68</v>
      </c>
    </row>
    <row r="5" customFormat="false" ht="13" hidden="false" customHeight="false" outlineLevel="0" collapsed="false">
      <c r="A5" s="40"/>
      <c r="B5" s="41" t="s">
        <v>69</v>
      </c>
      <c r="C5" s="40" t="s">
        <v>70</v>
      </c>
      <c r="D5" s="42" t="s">
        <v>71</v>
      </c>
      <c r="E5" s="43"/>
      <c r="F5" s="43"/>
      <c r="G5" s="0"/>
      <c r="H5" s="0"/>
      <c r="I5" s="44"/>
      <c r="J5" s="45"/>
      <c r="K5" s="43"/>
    </row>
    <row r="6" customFormat="false" ht="12.5" hidden="false" customHeight="false" outlineLevel="0" collapsed="false">
      <c r="A6" s="40"/>
      <c r="B6" s="41" t="s">
        <v>72</v>
      </c>
      <c r="C6" s="40" t="s">
        <v>73</v>
      </c>
      <c r="D6" s="42" t="s">
        <v>74</v>
      </c>
      <c r="E6" s="43"/>
      <c r="F6" s="43"/>
      <c r="G6" s="0"/>
      <c r="H6" s="0"/>
      <c r="I6" s="44"/>
      <c r="J6" s="45"/>
      <c r="K6" s="43"/>
    </row>
    <row r="7" customFormat="false" ht="12.5" hidden="false" customHeight="false" outlineLevel="0" collapsed="false">
      <c r="A7" s="40"/>
      <c r="B7" s="41" t="s">
        <v>75</v>
      </c>
      <c r="C7" s="40" t="s">
        <v>76</v>
      </c>
      <c r="D7" s="42" t="s">
        <v>77</v>
      </c>
      <c r="E7" s="46"/>
      <c r="F7" s="43"/>
      <c r="G7" s="0"/>
      <c r="H7" s="0"/>
      <c r="I7" s="44"/>
      <c r="J7" s="45"/>
      <c r="K7" s="43"/>
    </row>
    <row r="8" customFormat="false" ht="12.5" hidden="false" customHeight="false" outlineLevel="0" collapsed="false">
      <c r="A8" s="40"/>
      <c r="B8" s="41" t="s">
        <v>78</v>
      </c>
      <c r="C8" s="40" t="s">
        <v>79</v>
      </c>
      <c r="D8" s="42" t="s">
        <v>80</v>
      </c>
      <c r="E8" s="46"/>
      <c r="F8" s="43"/>
      <c r="G8" s="0"/>
      <c r="H8" s="0"/>
      <c r="I8" s="44"/>
      <c r="J8" s="45"/>
      <c r="K8" s="43"/>
    </row>
    <row r="9" customFormat="false" ht="12.5" hidden="false" customHeight="false" outlineLevel="0" collapsed="false">
      <c r="A9" s="40"/>
      <c r="B9" s="41" t="s">
        <v>81</v>
      </c>
      <c r="C9" s="40" t="s">
        <v>82</v>
      </c>
      <c r="D9" s="42" t="s">
        <v>83</v>
      </c>
      <c r="E9" s="46"/>
      <c r="F9" s="43"/>
      <c r="G9" s="0"/>
      <c r="H9" s="0"/>
      <c r="I9" s="44"/>
      <c r="J9" s="45"/>
      <c r="K9" s="43"/>
    </row>
    <row r="10" customFormat="false" ht="12.5" hidden="false" customHeight="false" outlineLevel="0" collapsed="false">
      <c r="A10" s="40"/>
      <c r="B10" s="41" t="s">
        <v>84</v>
      </c>
      <c r="C10" s="40" t="s">
        <v>85</v>
      </c>
      <c r="D10" s="42" t="s">
        <v>86</v>
      </c>
      <c r="E10" s="46"/>
      <c r="F10" s="43"/>
      <c r="G10" s="0"/>
      <c r="H10" s="0"/>
      <c r="I10" s="44"/>
      <c r="J10" s="45"/>
      <c r="K10" s="43"/>
    </row>
    <row r="11" customFormat="false" ht="12.5" hidden="false" customHeight="false" outlineLevel="0" collapsed="false">
      <c r="A11" s="40"/>
      <c r="B11" s="41" t="s">
        <v>87</v>
      </c>
      <c r="C11" s="40" t="s">
        <v>88</v>
      </c>
      <c r="D11" s="42" t="s">
        <v>89</v>
      </c>
      <c r="E11" s="46"/>
      <c r="F11" s="43"/>
      <c r="G11" s="0"/>
      <c r="H11" s="0"/>
      <c r="I11" s="44"/>
      <c r="J11" s="45"/>
      <c r="K11" s="43"/>
    </row>
    <row r="12" customFormat="false" ht="12.5" hidden="false" customHeight="false" outlineLevel="0" collapsed="false">
      <c r="A12" s="40"/>
      <c r="B12" s="41" t="s">
        <v>90</v>
      </c>
      <c r="C12" s="40" t="s">
        <v>91</v>
      </c>
      <c r="D12" s="42" t="s">
        <v>92</v>
      </c>
      <c r="E12" s="46"/>
      <c r="F12" s="43"/>
      <c r="G12" s="0"/>
      <c r="H12" s="0"/>
      <c r="I12" s="44"/>
      <c r="J12" s="45"/>
      <c r="K12" s="43"/>
    </row>
    <row r="13" customFormat="false" ht="12.5" hidden="false" customHeight="false" outlineLevel="0" collapsed="false">
      <c r="A13" s="40"/>
      <c r="B13" s="41" t="s">
        <v>93</v>
      </c>
      <c r="C13" s="40" t="s">
        <v>94</v>
      </c>
      <c r="D13" s="42" t="s">
        <v>95</v>
      </c>
      <c r="E13" s="46"/>
      <c r="F13" s="43"/>
      <c r="G13" s="0"/>
      <c r="H13" s="0"/>
      <c r="I13" s="44"/>
      <c r="J13" s="45"/>
      <c r="K13" s="43"/>
    </row>
    <row r="14" customFormat="false" ht="12.5" hidden="false" customHeight="false" outlineLevel="0" collapsed="false">
      <c r="A14" s="40"/>
      <c r="B14" s="41" t="s">
        <v>96</v>
      </c>
      <c r="C14" s="40" t="s">
        <v>97</v>
      </c>
      <c r="D14" s="42" t="s">
        <v>98</v>
      </c>
      <c r="E14" s="46"/>
      <c r="F14" s="43"/>
      <c r="G14" s="0"/>
      <c r="H14" s="0"/>
      <c r="I14" s="44"/>
      <c r="J14" s="45"/>
      <c r="K14" s="43"/>
    </row>
    <row r="15" customFormat="false" ht="12.5" hidden="false" customHeight="false" outlineLevel="0" collapsed="false">
      <c r="A15" s="40"/>
      <c r="B15" s="41" t="s">
        <v>99</v>
      </c>
      <c r="C15" s="40" t="s">
        <v>100</v>
      </c>
      <c r="D15" s="42" t="s">
        <v>101</v>
      </c>
      <c r="E15" s="46"/>
      <c r="F15" s="43"/>
      <c r="G15" s="0"/>
      <c r="H15" s="0"/>
      <c r="I15" s="44"/>
      <c r="J15" s="45"/>
      <c r="K15" s="43"/>
    </row>
    <row r="16" customFormat="false" ht="12.5" hidden="false" customHeight="false" outlineLevel="0" collapsed="false">
      <c r="A16" s="40"/>
      <c r="B16" s="41" t="s">
        <v>102</v>
      </c>
      <c r="C16" s="40" t="s">
        <v>103</v>
      </c>
      <c r="D16" s="42" t="s">
        <v>104</v>
      </c>
      <c r="E16" s="46"/>
      <c r="F16" s="43"/>
      <c r="G16" s="0"/>
      <c r="H16" s="0"/>
      <c r="I16" s="44"/>
      <c r="J16" s="45"/>
      <c r="K16" s="43"/>
    </row>
    <row r="17" customFormat="false" ht="12.5" hidden="false" customHeight="false" outlineLevel="0" collapsed="false">
      <c r="A17" s="40"/>
      <c r="B17" s="41" t="s">
        <v>105</v>
      </c>
      <c r="C17" s="40" t="s">
        <v>106</v>
      </c>
      <c r="D17" s="42" t="s">
        <v>107</v>
      </c>
      <c r="E17" s="46"/>
      <c r="F17" s="43"/>
      <c r="G17" s="0"/>
      <c r="H17" s="0"/>
      <c r="I17" s="44"/>
      <c r="J17" s="45"/>
      <c r="K17" s="43"/>
    </row>
    <row r="18" customFormat="false" ht="12.5" hidden="false" customHeight="false" outlineLevel="0" collapsed="false">
      <c r="A18" s="40"/>
      <c r="B18" s="41" t="s">
        <v>108</v>
      </c>
      <c r="C18" s="40" t="s">
        <v>109</v>
      </c>
      <c r="D18" s="42" t="s">
        <v>110</v>
      </c>
      <c r="E18" s="46"/>
      <c r="F18" s="43"/>
      <c r="G18" s="0"/>
      <c r="H18" s="0"/>
      <c r="I18" s="44"/>
      <c r="J18" s="45"/>
      <c r="K18" s="43"/>
    </row>
    <row r="19" customFormat="false" ht="12.5" hidden="false" customHeight="false" outlineLevel="0" collapsed="false">
      <c r="A19" s="40"/>
      <c r="B19" s="41" t="s">
        <v>111</v>
      </c>
      <c r="C19" s="40" t="s">
        <v>112</v>
      </c>
      <c r="D19" s="42" t="s">
        <v>113</v>
      </c>
      <c r="E19" s="46"/>
      <c r="F19" s="43"/>
      <c r="G19" s="0"/>
      <c r="H19" s="0"/>
      <c r="I19" s="44"/>
      <c r="J19" s="45"/>
      <c r="K19" s="43"/>
    </row>
    <row r="20" customFormat="false" ht="12.5" hidden="false" customHeight="false" outlineLevel="0" collapsed="false">
      <c r="A20" s="40"/>
      <c r="B20" s="41" t="s">
        <v>114</v>
      </c>
      <c r="C20" s="40" t="s">
        <v>115</v>
      </c>
      <c r="D20" s="42" t="s">
        <v>116</v>
      </c>
      <c r="E20" s="46"/>
      <c r="F20" s="43"/>
      <c r="G20" s="0"/>
      <c r="H20" s="0"/>
      <c r="I20" s="44"/>
      <c r="J20" s="45"/>
      <c r="K20" s="43"/>
    </row>
    <row r="21" customFormat="false" ht="12.5" hidden="false" customHeight="false" outlineLevel="0" collapsed="false">
      <c r="A21" s="40"/>
      <c r="B21" s="41" t="s">
        <v>117</v>
      </c>
      <c r="C21" s="40" t="s">
        <v>118</v>
      </c>
      <c r="D21" s="42" t="n">
        <v>10</v>
      </c>
      <c r="E21" s="46"/>
      <c r="F21" s="43"/>
      <c r="G21" s="0"/>
      <c r="H21" s="0"/>
      <c r="I21" s="44"/>
      <c r="J21" s="45"/>
      <c r="K21" s="43"/>
    </row>
    <row r="22" customFormat="false" ht="12.5" hidden="false" customHeight="false" outlineLevel="0" collapsed="false">
      <c r="A22" s="40"/>
      <c r="B22" s="41" t="s">
        <v>119</v>
      </c>
      <c r="C22" s="40" t="s">
        <v>120</v>
      </c>
      <c r="D22" s="42" t="n">
        <v>11</v>
      </c>
      <c r="E22" s="46"/>
      <c r="F22" s="43"/>
      <c r="G22" s="0"/>
      <c r="H22" s="0"/>
      <c r="I22" s="44"/>
      <c r="J22" s="45"/>
      <c r="K22" s="43"/>
    </row>
    <row r="23" customFormat="false" ht="12.5" hidden="false" customHeight="false" outlineLevel="0" collapsed="false">
      <c r="A23" s="40"/>
      <c r="B23" s="41" t="s">
        <v>121</v>
      </c>
      <c r="C23" s="40" t="s">
        <v>122</v>
      </c>
      <c r="D23" s="42" t="n">
        <v>12</v>
      </c>
      <c r="E23" s="46"/>
      <c r="F23" s="43"/>
      <c r="G23" s="0"/>
      <c r="H23" s="0"/>
      <c r="I23" s="44"/>
      <c r="J23" s="45"/>
      <c r="K23" s="43"/>
    </row>
    <row r="24" customFormat="false" ht="12.5" hidden="false" customHeight="false" outlineLevel="0" collapsed="false">
      <c r="A24" s="40"/>
      <c r="B24" s="41" t="s">
        <v>123</v>
      </c>
      <c r="C24" s="40" t="s">
        <v>124</v>
      </c>
      <c r="D24" s="42" t="n">
        <v>13</v>
      </c>
      <c r="E24" s="46"/>
      <c r="F24" s="43"/>
      <c r="G24" s="0"/>
      <c r="H24" s="0"/>
      <c r="I24" s="44"/>
      <c r="J24" s="45"/>
      <c r="K24" s="43"/>
    </row>
    <row r="25" customFormat="false" ht="12.5" hidden="false" customHeight="false" outlineLevel="0" collapsed="false">
      <c r="A25" s="40"/>
      <c r="B25" s="41" t="s">
        <v>125</v>
      </c>
      <c r="C25" s="40" t="s">
        <v>126</v>
      </c>
      <c r="D25" s="42" t="n">
        <v>14</v>
      </c>
      <c r="E25" s="46"/>
      <c r="F25" s="43"/>
      <c r="G25" s="0"/>
      <c r="H25" s="0"/>
      <c r="I25" s="44"/>
      <c r="J25" s="45"/>
      <c r="K25" s="43"/>
    </row>
    <row r="26" customFormat="false" ht="12.5" hidden="false" customHeight="false" outlineLevel="0" collapsed="false">
      <c r="A26" s="40"/>
      <c r="B26" s="41" t="s">
        <v>127</v>
      </c>
      <c r="C26" s="40" t="s">
        <v>128</v>
      </c>
      <c r="D26" s="42" t="n">
        <v>15</v>
      </c>
      <c r="E26" s="46"/>
      <c r="F26" s="43"/>
      <c r="G26" s="0"/>
      <c r="H26" s="0"/>
      <c r="I26" s="44"/>
      <c r="J26" s="45"/>
      <c r="K26" s="43"/>
    </row>
    <row r="27" customFormat="false" ht="12.5" hidden="false" customHeight="false" outlineLevel="0" collapsed="false">
      <c r="A27" s="40"/>
      <c r="B27" s="41" t="s">
        <v>129</v>
      </c>
      <c r="C27" s="40" t="s">
        <v>130</v>
      </c>
      <c r="D27" s="42" t="n">
        <v>16</v>
      </c>
      <c r="E27" s="46"/>
      <c r="F27" s="43"/>
      <c r="G27" s="0"/>
      <c r="H27" s="0"/>
      <c r="I27" s="44"/>
      <c r="J27" s="45"/>
      <c r="K27" s="43"/>
    </row>
    <row r="28" customFormat="false" ht="12.5" hidden="false" customHeight="false" outlineLevel="0" collapsed="false">
      <c r="A28" s="40"/>
      <c r="B28" s="41" t="s">
        <v>131</v>
      </c>
      <c r="C28" s="40" t="s">
        <v>132</v>
      </c>
      <c r="D28" s="42" t="n">
        <v>17</v>
      </c>
      <c r="E28" s="46"/>
      <c r="F28" s="43"/>
      <c r="G28" s="0"/>
      <c r="H28" s="0"/>
      <c r="I28" s="44"/>
      <c r="J28" s="45"/>
      <c r="K28" s="43"/>
    </row>
    <row r="29" customFormat="false" ht="12.5" hidden="false" customHeight="false" outlineLevel="0" collapsed="false">
      <c r="A29" s="40"/>
      <c r="B29" s="41" t="s">
        <v>133</v>
      </c>
      <c r="C29" s="40" t="s">
        <v>134</v>
      </c>
      <c r="D29" s="42" t="n">
        <v>18</v>
      </c>
      <c r="E29" s="46"/>
      <c r="F29" s="43"/>
      <c r="G29" s="0"/>
      <c r="H29" s="0"/>
      <c r="I29" s="44"/>
      <c r="J29" s="45"/>
      <c r="K29" s="43"/>
    </row>
    <row r="30" customFormat="false" ht="12.5" hidden="false" customHeight="false" outlineLevel="0" collapsed="false">
      <c r="A30" s="40"/>
      <c r="B30" s="41" t="s">
        <v>135</v>
      </c>
      <c r="C30" s="40" t="s">
        <v>136</v>
      </c>
      <c r="D30" s="42" t="n">
        <v>19</v>
      </c>
      <c r="E30" s="46"/>
      <c r="F30" s="43"/>
      <c r="G30" s="0"/>
      <c r="H30" s="0"/>
      <c r="I30" s="44"/>
      <c r="J30" s="45"/>
      <c r="K30" s="43"/>
    </row>
    <row r="31" customFormat="false" ht="12.5" hidden="false" customHeight="false" outlineLevel="0" collapsed="false">
      <c r="A31" s="40"/>
      <c r="B31" s="41" t="s">
        <v>137</v>
      </c>
      <c r="C31" s="40" t="s">
        <v>138</v>
      </c>
      <c r="D31" s="42" t="s">
        <v>139</v>
      </c>
      <c r="E31" s="46"/>
      <c r="F31" s="43"/>
      <c r="G31" s="0"/>
      <c r="H31" s="0"/>
      <c r="I31" s="44"/>
      <c r="J31" s="45"/>
      <c r="K31" s="43"/>
    </row>
    <row r="32" customFormat="false" ht="12.5" hidden="false" customHeight="false" outlineLevel="0" collapsed="false">
      <c r="A32" s="40"/>
      <c r="B32" s="41" t="s">
        <v>140</v>
      </c>
      <c r="C32" s="40" t="s">
        <v>141</v>
      </c>
      <c r="D32" s="42" t="s">
        <v>142</v>
      </c>
      <c r="E32" s="46"/>
      <c r="F32" s="43"/>
      <c r="G32" s="0"/>
      <c r="H32" s="0"/>
      <c r="I32" s="44"/>
      <c r="J32" s="45"/>
      <c r="K32" s="43"/>
    </row>
    <row r="33" customFormat="false" ht="12.5" hidden="false" customHeight="false" outlineLevel="0" collapsed="false">
      <c r="A33" s="40"/>
      <c r="B33" s="41" t="s">
        <v>143</v>
      </c>
      <c r="C33" s="40" t="s">
        <v>144</v>
      </c>
      <c r="D33" s="42" t="s">
        <v>145</v>
      </c>
      <c r="E33" s="46"/>
      <c r="F33" s="43"/>
      <c r="G33" s="0"/>
      <c r="H33" s="0"/>
      <c r="I33" s="44"/>
      <c r="J33" s="45"/>
      <c r="K33" s="43"/>
    </row>
    <row r="34" customFormat="false" ht="12.5" hidden="false" customHeight="false" outlineLevel="0" collapsed="false">
      <c r="A34" s="40"/>
      <c r="B34" s="41" t="s">
        <v>146</v>
      </c>
      <c r="C34" s="40" t="s">
        <v>147</v>
      </c>
      <c r="D34" s="42" t="s">
        <v>148</v>
      </c>
      <c r="E34" s="46"/>
      <c r="F34" s="43"/>
      <c r="G34" s="0"/>
      <c r="H34" s="0"/>
      <c r="I34" s="44"/>
      <c r="J34" s="45"/>
      <c r="K34" s="43"/>
    </row>
    <row r="35" customFormat="false" ht="12.5" hidden="false" customHeight="false" outlineLevel="0" collapsed="false">
      <c r="A35" s="40"/>
      <c r="B35" s="41" t="s">
        <v>149</v>
      </c>
      <c r="C35" s="40" t="s">
        <v>150</v>
      </c>
      <c r="D35" s="42" t="s">
        <v>151</v>
      </c>
      <c r="E35" s="46"/>
      <c r="F35" s="43"/>
      <c r="G35" s="0"/>
      <c r="H35" s="0"/>
      <c r="I35" s="44"/>
      <c r="J35" s="45"/>
      <c r="K35" s="43"/>
    </row>
    <row r="36" customFormat="false" ht="12.5" hidden="false" customHeight="false" outlineLevel="0" collapsed="false">
      <c r="A36" s="40"/>
      <c r="B36" s="41" t="s">
        <v>152</v>
      </c>
      <c r="C36" s="40" t="s">
        <v>153</v>
      </c>
      <c r="D36" s="42" t="s">
        <v>154</v>
      </c>
      <c r="E36" s="46"/>
      <c r="F36" s="43"/>
      <c r="G36" s="0"/>
      <c r="H36" s="0"/>
      <c r="I36" s="44"/>
      <c r="J36" s="45"/>
      <c r="K36" s="43"/>
    </row>
    <row r="37" customFormat="false" ht="12.5" hidden="false" customHeight="false" outlineLevel="0" collapsed="false">
      <c r="A37" s="40"/>
      <c r="B37" s="41" t="s">
        <v>155</v>
      </c>
      <c r="C37" s="40" t="s">
        <v>156</v>
      </c>
      <c r="D37" s="42" t="n">
        <v>20</v>
      </c>
      <c r="E37" s="46"/>
      <c r="F37" s="43"/>
      <c r="G37" s="0"/>
      <c r="H37" s="0"/>
      <c r="I37" s="44"/>
      <c r="J37" s="45"/>
      <c r="K37" s="43"/>
    </row>
    <row r="38" customFormat="false" ht="12.5" hidden="false" customHeight="false" outlineLevel="0" collapsed="false">
      <c r="A38" s="40"/>
      <c r="B38" s="41" t="s">
        <v>157</v>
      </c>
      <c r="C38" s="40" t="s">
        <v>158</v>
      </c>
      <c r="D38" s="42" t="n">
        <v>21</v>
      </c>
      <c r="E38" s="46"/>
      <c r="F38" s="43"/>
      <c r="G38" s="0"/>
      <c r="H38" s="0"/>
      <c r="I38" s="44"/>
      <c r="J38" s="45"/>
      <c r="K38" s="43"/>
    </row>
    <row r="39" customFormat="false" ht="12.5" hidden="false" customHeight="false" outlineLevel="0" collapsed="false">
      <c r="A39" s="40"/>
      <c r="B39" s="41" t="s">
        <v>159</v>
      </c>
      <c r="C39" s="40" t="s">
        <v>160</v>
      </c>
      <c r="D39" s="42" t="n">
        <v>22</v>
      </c>
      <c r="E39" s="46"/>
      <c r="F39" s="43"/>
      <c r="G39" s="0"/>
      <c r="H39" s="0"/>
      <c r="I39" s="44"/>
      <c r="J39" s="45"/>
      <c r="K39" s="43"/>
    </row>
    <row r="40" customFormat="false" ht="12.5" hidden="false" customHeight="false" outlineLevel="0" collapsed="false">
      <c r="A40" s="40"/>
      <c r="B40" s="41" t="s">
        <v>161</v>
      </c>
      <c r="C40" s="40" t="s">
        <v>162</v>
      </c>
      <c r="D40" s="42" t="n">
        <v>23</v>
      </c>
      <c r="E40" s="46"/>
      <c r="F40" s="43"/>
      <c r="G40" s="0"/>
      <c r="H40" s="0"/>
      <c r="I40" s="44"/>
      <c r="J40" s="45"/>
      <c r="K40" s="43"/>
    </row>
    <row r="41" customFormat="false" ht="12.5" hidden="false" customHeight="false" outlineLevel="0" collapsed="false">
      <c r="A41" s="40"/>
      <c r="B41" s="41" t="s">
        <v>163</v>
      </c>
      <c r="C41" s="40" t="s">
        <v>164</v>
      </c>
      <c r="D41" s="42" t="n">
        <v>24</v>
      </c>
      <c r="E41" s="46"/>
      <c r="F41" s="43"/>
      <c r="G41" s="0"/>
      <c r="H41" s="0"/>
      <c r="I41" s="44"/>
      <c r="J41" s="45"/>
      <c r="K41" s="43"/>
    </row>
    <row r="42" customFormat="false" ht="12.5" hidden="false" customHeight="false" outlineLevel="0" collapsed="false">
      <c r="A42" s="40"/>
      <c r="B42" s="41" t="s">
        <v>165</v>
      </c>
      <c r="C42" s="40" t="s">
        <v>166</v>
      </c>
      <c r="D42" s="42" t="n">
        <v>25</v>
      </c>
      <c r="E42" s="46"/>
      <c r="F42" s="43"/>
      <c r="G42" s="0"/>
      <c r="H42" s="0"/>
      <c r="I42" s="44"/>
      <c r="J42" s="45"/>
      <c r="K42" s="43"/>
    </row>
    <row r="43" customFormat="false" ht="12.5" hidden="false" customHeight="false" outlineLevel="0" collapsed="false">
      <c r="A43" s="40"/>
      <c r="B43" s="41" t="s">
        <v>167</v>
      </c>
      <c r="C43" s="40" t="s">
        <v>168</v>
      </c>
      <c r="D43" s="42" t="n">
        <v>26</v>
      </c>
      <c r="E43" s="46"/>
      <c r="F43" s="43"/>
      <c r="G43" s="0"/>
      <c r="H43" s="0"/>
      <c r="I43" s="44"/>
      <c r="J43" s="45"/>
      <c r="K43" s="43"/>
    </row>
    <row r="44" customFormat="false" ht="12.5" hidden="false" customHeight="false" outlineLevel="0" collapsed="false">
      <c r="A44" s="40"/>
      <c r="B44" s="41" t="s">
        <v>169</v>
      </c>
      <c r="C44" s="40" t="s">
        <v>170</v>
      </c>
      <c r="D44" s="42" t="n">
        <v>27</v>
      </c>
      <c r="E44" s="46"/>
      <c r="F44" s="43"/>
      <c r="G44" s="0"/>
      <c r="H44" s="0"/>
      <c r="I44" s="44"/>
      <c r="J44" s="45"/>
      <c r="K44" s="43"/>
    </row>
    <row r="45" customFormat="false" ht="12.5" hidden="false" customHeight="false" outlineLevel="0" collapsed="false">
      <c r="A45" s="40"/>
      <c r="B45" s="41" t="s">
        <v>171</v>
      </c>
      <c r="C45" s="40" t="s">
        <v>172</v>
      </c>
      <c r="D45" s="42" t="n">
        <v>28</v>
      </c>
      <c r="E45" s="46"/>
      <c r="F45" s="43"/>
      <c r="G45" s="0"/>
      <c r="H45" s="0"/>
      <c r="I45" s="44"/>
      <c r="J45" s="45"/>
      <c r="K45" s="43"/>
    </row>
    <row r="46" customFormat="false" ht="12.5" hidden="false" customHeight="false" outlineLevel="0" collapsed="false">
      <c r="A46" s="40"/>
      <c r="B46" s="41" t="s">
        <v>173</v>
      </c>
      <c r="C46" s="40" t="s">
        <v>174</v>
      </c>
      <c r="D46" s="42" t="n">
        <v>29</v>
      </c>
      <c r="E46" s="46"/>
      <c r="F46" s="43"/>
      <c r="G46" s="0"/>
      <c r="H46" s="0"/>
      <c r="I46" s="44"/>
      <c r="J46" s="45"/>
      <c r="K46" s="43"/>
    </row>
    <row r="47" customFormat="false" ht="12.5" hidden="false" customHeight="false" outlineLevel="0" collapsed="false">
      <c r="A47" s="40"/>
      <c r="B47" s="41" t="s">
        <v>175</v>
      </c>
      <c r="C47" s="40" t="s">
        <v>176</v>
      </c>
      <c r="D47" s="42" t="s">
        <v>177</v>
      </c>
      <c r="E47" s="46"/>
      <c r="F47" s="43"/>
      <c r="G47" s="0"/>
      <c r="H47" s="0"/>
      <c r="I47" s="44"/>
      <c r="J47" s="45"/>
      <c r="K47" s="43"/>
    </row>
    <row r="48" customFormat="false" ht="12.5" hidden="false" customHeight="false" outlineLevel="0" collapsed="false">
      <c r="A48" s="40"/>
      <c r="B48" s="41" t="s">
        <v>175</v>
      </c>
      <c r="C48" s="40" t="s">
        <v>178</v>
      </c>
      <c r="D48" s="42" t="s">
        <v>179</v>
      </c>
      <c r="E48" s="46"/>
      <c r="F48" s="43"/>
      <c r="G48" s="0"/>
      <c r="H48" s="0"/>
      <c r="I48" s="44"/>
      <c r="J48" s="45"/>
      <c r="K48" s="43"/>
    </row>
    <row r="49" customFormat="false" ht="12.5" hidden="false" customHeight="false" outlineLevel="0" collapsed="false">
      <c r="A49" s="40"/>
      <c r="B49" s="41" t="s">
        <v>180</v>
      </c>
      <c r="C49" s="40" t="s">
        <v>181</v>
      </c>
      <c r="D49" s="42" t="s">
        <v>182</v>
      </c>
      <c r="E49" s="46"/>
      <c r="F49" s="43"/>
      <c r="G49" s="0"/>
      <c r="H49" s="0"/>
      <c r="I49" s="44"/>
      <c r="J49" s="45"/>
      <c r="K49" s="43"/>
    </row>
    <row r="50" customFormat="false" ht="12.5" hidden="false" customHeight="false" outlineLevel="0" collapsed="false">
      <c r="A50" s="40"/>
      <c r="B50" s="41" t="s">
        <v>183</v>
      </c>
      <c r="C50" s="40" t="s">
        <v>184</v>
      </c>
      <c r="D50" s="42" t="s">
        <v>185</v>
      </c>
      <c r="E50" s="46"/>
      <c r="F50" s="43"/>
      <c r="G50" s="0"/>
      <c r="H50" s="0"/>
      <c r="I50" s="44"/>
      <c r="J50" s="45"/>
      <c r="K50" s="43"/>
    </row>
    <row r="51" customFormat="false" ht="12.5" hidden="false" customHeight="false" outlineLevel="0" collapsed="false">
      <c r="A51" s="40"/>
      <c r="B51" s="41" t="s">
        <v>186</v>
      </c>
      <c r="C51" s="40" t="s">
        <v>187</v>
      </c>
      <c r="D51" s="42" t="s">
        <v>188</v>
      </c>
      <c r="E51" s="46"/>
      <c r="F51" s="43"/>
      <c r="G51" s="0"/>
      <c r="H51" s="0"/>
      <c r="I51" s="44"/>
      <c r="J51" s="45"/>
      <c r="K51" s="43"/>
    </row>
    <row r="52" customFormat="false" ht="12.5" hidden="false" customHeight="false" outlineLevel="0" collapsed="false">
      <c r="A52" s="40"/>
      <c r="B52" s="41" t="s">
        <v>189</v>
      </c>
      <c r="C52" s="40" t="s">
        <v>190</v>
      </c>
      <c r="D52" s="42" t="s">
        <v>191</v>
      </c>
      <c r="E52" s="46"/>
      <c r="F52" s="43"/>
      <c r="G52" s="0"/>
      <c r="H52" s="0"/>
      <c r="I52" s="44"/>
      <c r="J52" s="45"/>
      <c r="K52" s="43"/>
    </row>
    <row r="53" customFormat="false" ht="12.5" hidden="false" customHeight="false" outlineLevel="0" collapsed="false">
      <c r="A53" s="40"/>
      <c r="B53" s="41" t="s">
        <v>192</v>
      </c>
      <c r="C53" s="40" t="n">
        <v>0</v>
      </c>
      <c r="D53" s="42" t="n">
        <v>30</v>
      </c>
      <c r="E53" s="46"/>
      <c r="F53" s="43"/>
      <c r="G53" s="0"/>
      <c r="H53" s="0"/>
      <c r="I53" s="44"/>
      <c r="J53" s="45"/>
      <c r="K53" s="43"/>
    </row>
    <row r="54" customFormat="false" ht="12.5" hidden="false" customHeight="false" outlineLevel="0" collapsed="false">
      <c r="A54" s="40"/>
      <c r="B54" s="41" t="s">
        <v>193</v>
      </c>
      <c r="C54" s="40" t="n">
        <v>1</v>
      </c>
      <c r="D54" s="42" t="n">
        <v>31</v>
      </c>
      <c r="E54" s="46"/>
      <c r="F54" s="43"/>
      <c r="G54" s="0"/>
      <c r="H54" s="0"/>
      <c r="I54" s="44"/>
      <c r="J54" s="45"/>
      <c r="K54" s="43"/>
    </row>
    <row r="55" customFormat="false" ht="12.5" hidden="false" customHeight="false" outlineLevel="0" collapsed="false">
      <c r="A55" s="40"/>
      <c r="B55" s="41" t="s">
        <v>194</v>
      </c>
      <c r="C55" s="40" t="n">
        <v>2</v>
      </c>
      <c r="D55" s="42" t="n">
        <v>32</v>
      </c>
      <c r="E55" s="46"/>
      <c r="F55" s="43"/>
      <c r="G55" s="0"/>
      <c r="H55" s="0"/>
      <c r="I55" s="44"/>
      <c r="J55" s="45"/>
      <c r="K55" s="43"/>
    </row>
    <row r="56" customFormat="false" ht="12.5" hidden="false" customHeight="false" outlineLevel="0" collapsed="false">
      <c r="A56" s="40"/>
      <c r="B56" s="41" t="s">
        <v>195</v>
      </c>
      <c r="C56" s="40" t="n">
        <v>3</v>
      </c>
      <c r="D56" s="42" t="n">
        <v>33</v>
      </c>
      <c r="E56" s="46"/>
      <c r="F56" s="43"/>
      <c r="G56" s="0"/>
      <c r="H56" s="0"/>
      <c r="I56" s="44"/>
      <c r="J56" s="45"/>
      <c r="K56" s="43"/>
    </row>
    <row r="57" customFormat="false" ht="12.5" hidden="false" customHeight="false" outlineLevel="0" collapsed="false">
      <c r="A57" s="40"/>
      <c r="B57" s="41" t="s">
        <v>196</v>
      </c>
      <c r="C57" s="40" t="n">
        <v>4</v>
      </c>
      <c r="D57" s="42" t="n">
        <v>34</v>
      </c>
      <c r="E57" s="46"/>
      <c r="F57" s="43"/>
      <c r="G57" s="0"/>
      <c r="H57" s="0"/>
      <c r="I57" s="44"/>
      <c r="J57" s="45"/>
      <c r="K57" s="43"/>
    </row>
    <row r="58" customFormat="false" ht="12.5" hidden="false" customHeight="false" outlineLevel="0" collapsed="false">
      <c r="A58" s="40"/>
      <c r="B58" s="41" t="s">
        <v>197</v>
      </c>
      <c r="C58" s="40" t="n">
        <v>5</v>
      </c>
      <c r="D58" s="42" t="n">
        <v>35</v>
      </c>
      <c r="E58" s="46"/>
      <c r="F58" s="43"/>
      <c r="G58" s="0"/>
      <c r="H58" s="0"/>
      <c r="I58" s="44"/>
      <c r="J58" s="45"/>
      <c r="K58" s="43"/>
    </row>
    <row r="59" customFormat="false" ht="12.5" hidden="false" customHeight="false" outlineLevel="0" collapsed="false">
      <c r="A59" s="40"/>
      <c r="B59" s="41" t="s">
        <v>198</v>
      </c>
      <c r="C59" s="40" t="n">
        <v>6</v>
      </c>
      <c r="D59" s="42" t="n">
        <v>36</v>
      </c>
      <c r="E59" s="46"/>
      <c r="F59" s="43"/>
      <c r="G59" s="0"/>
      <c r="H59" s="0"/>
      <c r="I59" s="44"/>
      <c r="J59" s="45"/>
      <c r="K59" s="43"/>
    </row>
    <row r="60" customFormat="false" ht="12.5" hidden="false" customHeight="false" outlineLevel="0" collapsed="false">
      <c r="A60" s="40"/>
      <c r="B60" s="41" t="s">
        <v>199</v>
      </c>
      <c r="C60" s="40" t="n">
        <v>7</v>
      </c>
      <c r="D60" s="42" t="n">
        <v>37</v>
      </c>
      <c r="E60" s="46"/>
      <c r="F60" s="47"/>
      <c r="G60" s="44"/>
      <c r="H60" s="48"/>
      <c r="I60" s="44"/>
      <c r="J60" s="45"/>
      <c r="K60" s="43"/>
    </row>
    <row r="61" customFormat="false" ht="12.5" hidden="false" customHeight="false" outlineLevel="0" collapsed="false">
      <c r="A61" s="40"/>
      <c r="B61" s="41" t="s">
        <v>200</v>
      </c>
      <c r="C61" s="40" t="n">
        <v>8</v>
      </c>
      <c r="D61" s="42" t="n">
        <v>38</v>
      </c>
      <c r="E61" s="46"/>
      <c r="F61" s="47"/>
      <c r="G61" s="44"/>
      <c r="H61" s="48"/>
      <c r="I61" s="44"/>
      <c r="J61" s="45"/>
      <c r="K61" s="43"/>
    </row>
    <row r="62" customFormat="false" ht="12.5" hidden="false" customHeight="false" outlineLevel="0" collapsed="false">
      <c r="A62" s="40"/>
      <c r="B62" s="41" t="s">
        <v>201</v>
      </c>
      <c r="C62" s="40" t="n">
        <v>9</v>
      </c>
      <c r="D62" s="42" t="n">
        <v>39</v>
      </c>
      <c r="E62" s="46"/>
      <c r="F62" s="47"/>
      <c r="G62" s="44"/>
      <c r="H62" s="48"/>
      <c r="I62" s="44"/>
      <c r="J62" s="45"/>
      <c r="K62" s="43"/>
    </row>
    <row r="63" customFormat="false" ht="12.5" hidden="false" customHeight="false" outlineLevel="0" collapsed="false">
      <c r="A63" s="40"/>
      <c r="B63" s="41" t="s">
        <v>202</v>
      </c>
      <c r="C63" s="40" t="s">
        <v>203</v>
      </c>
      <c r="D63" s="42" t="s">
        <v>204</v>
      </c>
      <c r="E63" s="46"/>
      <c r="F63" s="47"/>
      <c r="G63" s="44"/>
      <c r="H63" s="48"/>
      <c r="I63" s="44"/>
      <c r="J63" s="45"/>
      <c r="K63" s="43"/>
    </row>
    <row r="64" customFormat="false" ht="12.5" hidden="false" customHeight="false" outlineLevel="0" collapsed="false">
      <c r="A64" s="40"/>
      <c r="B64" s="41" t="s">
        <v>205</v>
      </c>
      <c r="C64" s="40" t="s">
        <v>206</v>
      </c>
      <c r="D64" s="42" t="s">
        <v>207</v>
      </c>
      <c r="E64" s="46"/>
      <c r="F64" s="47"/>
      <c r="G64" s="44"/>
      <c r="H64" s="48"/>
      <c r="I64" s="44"/>
      <c r="J64" s="45"/>
      <c r="K64" s="43"/>
    </row>
    <row r="65" customFormat="false" ht="12.5" hidden="false" customHeight="false" outlineLevel="0" collapsed="false">
      <c r="A65" s="40"/>
      <c r="B65" s="41" t="s">
        <v>208</v>
      </c>
      <c r="C65" s="40" t="s">
        <v>209</v>
      </c>
      <c r="D65" s="42" t="s">
        <v>210</v>
      </c>
      <c r="E65" s="46"/>
      <c r="F65" s="47"/>
      <c r="G65" s="44"/>
      <c r="H65" s="48"/>
      <c r="I65" s="44"/>
      <c r="J65" s="45"/>
      <c r="K65" s="43"/>
    </row>
    <row r="66" customFormat="false" ht="12.5" hidden="false" customHeight="false" outlineLevel="0" collapsed="false">
      <c r="A66" s="40"/>
      <c r="B66" s="41" t="s">
        <v>211</v>
      </c>
      <c r="C66" s="40" t="s">
        <v>212</v>
      </c>
      <c r="D66" s="42" t="s">
        <v>213</v>
      </c>
      <c r="E66" s="46"/>
      <c r="F66" s="47"/>
      <c r="G66" s="44"/>
      <c r="H66" s="48"/>
      <c r="I66" s="44"/>
      <c r="J66" s="45"/>
      <c r="K66" s="43"/>
    </row>
    <row r="67" customFormat="false" ht="12.5" hidden="false" customHeight="false" outlineLevel="0" collapsed="false">
      <c r="A67" s="40"/>
      <c r="B67" s="41" t="s">
        <v>214</v>
      </c>
      <c r="C67" s="40" t="s">
        <v>215</v>
      </c>
      <c r="D67" s="42" t="s">
        <v>216</v>
      </c>
      <c r="E67" s="46"/>
      <c r="F67" s="47"/>
      <c r="G67" s="44"/>
      <c r="H67" s="48"/>
      <c r="I67" s="44"/>
      <c r="J67" s="45"/>
      <c r="K67" s="43"/>
    </row>
    <row r="68" customFormat="false" ht="12.5" hidden="false" customHeight="false" outlineLevel="0" collapsed="false">
      <c r="A68" s="40"/>
      <c r="B68" s="41" t="s">
        <v>217</v>
      </c>
      <c r="C68" s="40" t="s">
        <v>218</v>
      </c>
      <c r="D68" s="42" t="s">
        <v>219</v>
      </c>
      <c r="E68" s="46"/>
      <c r="F68" s="47"/>
      <c r="G68" s="44"/>
      <c r="H68" s="48"/>
      <c r="I68" s="44"/>
      <c r="J68" s="45"/>
      <c r="K68" s="43"/>
    </row>
    <row r="69" customFormat="false" ht="13" hidden="false" customHeight="false" outlineLevel="0" collapsed="false">
      <c r="A69" s="40"/>
      <c r="B69" s="41" t="s">
        <v>220</v>
      </c>
      <c r="C69" s="40" t="s">
        <v>221</v>
      </c>
      <c r="D69" s="42" t="n">
        <v>40</v>
      </c>
      <c r="E69" s="46"/>
      <c r="F69" s="47" t="s">
        <v>222</v>
      </c>
      <c r="G69" s="49" t="s">
        <v>223</v>
      </c>
      <c r="H69" s="48" t="s">
        <v>224</v>
      </c>
      <c r="I69" s="49" t="s">
        <v>225</v>
      </c>
      <c r="J69" s="50" t="s">
        <v>226</v>
      </c>
      <c r="K69" s="43" t="s">
        <v>227</v>
      </c>
    </row>
    <row r="70" customFormat="false" ht="13" hidden="false" customHeight="false" outlineLevel="0" collapsed="false">
      <c r="A70" s="40" t="s">
        <v>228</v>
      </c>
      <c r="B70" s="41" t="s">
        <v>229</v>
      </c>
      <c r="C70" s="40" t="s">
        <v>230</v>
      </c>
      <c r="D70" s="42" t="n">
        <v>41</v>
      </c>
      <c r="E70" s="46" t="s">
        <v>231</v>
      </c>
      <c r="F70" s="47" t="s">
        <v>232</v>
      </c>
      <c r="G70" s="44" t="s">
        <v>233</v>
      </c>
      <c r="H70" s="48" t="s">
        <v>234</v>
      </c>
      <c r="I70" s="44"/>
      <c r="J70" s="50" t="s">
        <v>235</v>
      </c>
      <c r="K70" s="43"/>
    </row>
    <row r="71" customFormat="false" ht="37.5" hidden="false" customHeight="false" outlineLevel="0" collapsed="false">
      <c r="A71" s="40" t="s">
        <v>228</v>
      </c>
      <c r="B71" s="41" t="s">
        <v>236</v>
      </c>
      <c r="C71" s="40" t="s">
        <v>237</v>
      </c>
      <c r="D71" s="42" t="n">
        <v>42</v>
      </c>
      <c r="E71" s="46" t="s">
        <v>231</v>
      </c>
      <c r="F71" s="47" t="s">
        <v>238</v>
      </c>
      <c r="G71" s="44" t="s">
        <v>239</v>
      </c>
      <c r="H71" s="48" t="s">
        <v>240</v>
      </c>
      <c r="I71" s="44"/>
      <c r="J71" s="50" t="s">
        <v>241</v>
      </c>
      <c r="K71" s="51" t="s">
        <v>242</v>
      </c>
    </row>
    <row r="72" customFormat="false" ht="37.5" hidden="false" customHeight="false" outlineLevel="0" collapsed="false">
      <c r="A72" s="40"/>
      <c r="B72" s="41" t="s">
        <v>243</v>
      </c>
      <c r="C72" s="40" t="s">
        <v>244</v>
      </c>
      <c r="D72" s="42" t="n">
        <v>43</v>
      </c>
      <c r="E72" s="46" t="s">
        <v>231</v>
      </c>
      <c r="F72" s="47" t="s">
        <v>245</v>
      </c>
      <c r="G72" s="44" t="s">
        <v>246</v>
      </c>
      <c r="H72" s="48" t="s">
        <v>240</v>
      </c>
      <c r="I72" s="44"/>
      <c r="J72" s="50" t="s">
        <v>247</v>
      </c>
      <c r="K72" s="51" t="s">
        <v>242</v>
      </c>
    </row>
    <row r="73" customFormat="false" ht="13" hidden="false" customHeight="false" outlineLevel="0" collapsed="false">
      <c r="A73" s="40" t="s">
        <v>218</v>
      </c>
      <c r="B73" s="41" t="s">
        <v>248</v>
      </c>
      <c r="C73" s="40" t="s">
        <v>249</v>
      </c>
      <c r="D73" s="42" t="n">
        <v>44</v>
      </c>
      <c r="E73" s="46" t="s">
        <v>231</v>
      </c>
      <c r="F73" s="47" t="s">
        <v>250</v>
      </c>
      <c r="G73" s="44" t="s">
        <v>251</v>
      </c>
      <c r="H73" s="48" t="s">
        <v>240</v>
      </c>
      <c r="I73" s="44"/>
      <c r="J73" s="50" t="s">
        <v>252</v>
      </c>
      <c r="K73" s="51"/>
    </row>
    <row r="74" customFormat="false" ht="13" hidden="false" customHeight="false" outlineLevel="0" collapsed="false">
      <c r="A74" s="40" t="s">
        <v>218</v>
      </c>
      <c r="B74" s="41" t="s">
        <v>253</v>
      </c>
      <c r="C74" s="40" t="s">
        <v>254</v>
      </c>
      <c r="D74" s="42" t="n">
        <v>45</v>
      </c>
      <c r="E74" s="46" t="s">
        <v>231</v>
      </c>
      <c r="F74" s="47" t="s">
        <v>255</v>
      </c>
      <c r="G74" s="44" t="s">
        <v>256</v>
      </c>
      <c r="H74" s="48" t="s">
        <v>240</v>
      </c>
      <c r="I74" s="44"/>
      <c r="J74" s="50" t="s">
        <v>257</v>
      </c>
      <c r="K74" s="51"/>
    </row>
    <row r="75" customFormat="false" ht="25" hidden="false" customHeight="false" outlineLevel="0" collapsed="false">
      <c r="A75" s="40"/>
      <c r="B75" s="41" t="s">
        <v>258</v>
      </c>
      <c r="C75" s="40" t="s">
        <v>259</v>
      </c>
      <c r="D75" s="42" t="n">
        <v>46</v>
      </c>
      <c r="E75" s="46" t="s">
        <v>231</v>
      </c>
      <c r="F75" s="47" t="s">
        <v>260</v>
      </c>
      <c r="G75" s="52" t="s">
        <v>261</v>
      </c>
      <c r="H75" s="53" t="s">
        <v>262</v>
      </c>
      <c r="I75" s="44"/>
      <c r="J75" s="45"/>
      <c r="K75" s="51"/>
    </row>
    <row r="76" customFormat="false" ht="37.5" hidden="false" customHeight="false" outlineLevel="0" collapsed="false">
      <c r="A76" s="40"/>
      <c r="B76" s="41" t="s">
        <v>263</v>
      </c>
      <c r="C76" s="40" t="s">
        <v>264</v>
      </c>
      <c r="D76" s="42" t="n">
        <v>47</v>
      </c>
      <c r="E76" s="46" t="s">
        <v>231</v>
      </c>
      <c r="F76" s="47" t="s">
        <v>265</v>
      </c>
      <c r="G76" s="52" t="s">
        <v>266</v>
      </c>
      <c r="H76" s="53" t="s">
        <v>262</v>
      </c>
      <c r="I76" s="44"/>
      <c r="J76" s="45"/>
      <c r="K76" s="51"/>
    </row>
    <row r="77" customFormat="false" ht="37.5" hidden="false" customHeight="false" outlineLevel="0" collapsed="false">
      <c r="A77" s="40" t="s">
        <v>228</v>
      </c>
      <c r="B77" s="41" t="s">
        <v>267</v>
      </c>
      <c r="C77" s="40" t="s">
        <v>268</v>
      </c>
      <c r="D77" s="42" t="n">
        <v>48</v>
      </c>
      <c r="E77" s="46" t="s">
        <v>269</v>
      </c>
      <c r="F77" s="47" t="s">
        <v>270</v>
      </c>
      <c r="G77" s="52" t="s">
        <v>271</v>
      </c>
      <c r="H77" s="53" t="s">
        <v>272</v>
      </c>
      <c r="I77" s="44"/>
      <c r="J77" s="50" t="s">
        <v>273</v>
      </c>
      <c r="K77" s="51" t="s">
        <v>274</v>
      </c>
    </row>
    <row r="78" customFormat="false" ht="50" hidden="false" customHeight="false" outlineLevel="0" collapsed="false">
      <c r="A78" s="40"/>
      <c r="B78" s="41" t="s">
        <v>275</v>
      </c>
      <c r="C78" s="40" t="s">
        <v>276</v>
      </c>
      <c r="D78" s="42" t="n">
        <v>49</v>
      </c>
      <c r="E78" s="46" t="s">
        <v>277</v>
      </c>
      <c r="F78" s="47" t="s">
        <v>278</v>
      </c>
      <c r="G78" s="52" t="s">
        <v>279</v>
      </c>
      <c r="H78" s="53" t="s">
        <v>280</v>
      </c>
      <c r="I78" s="44"/>
      <c r="J78" s="50" t="s">
        <v>281</v>
      </c>
      <c r="K78" s="51" t="s">
        <v>282</v>
      </c>
    </row>
    <row r="79" customFormat="false" ht="13" hidden="false" customHeight="false" outlineLevel="0" collapsed="false">
      <c r="A79" s="40" t="s">
        <v>228</v>
      </c>
      <c r="B79" s="41" t="s">
        <v>283</v>
      </c>
      <c r="C79" s="40" t="s">
        <v>284</v>
      </c>
      <c r="D79" s="42" t="s">
        <v>285</v>
      </c>
      <c r="E79" s="46" t="s">
        <v>286</v>
      </c>
      <c r="F79" s="47" t="s">
        <v>287</v>
      </c>
      <c r="G79" s="44" t="s">
        <v>288</v>
      </c>
      <c r="H79" s="48" t="s">
        <v>289</v>
      </c>
      <c r="I79" s="44"/>
      <c r="J79" s="50" t="s">
        <v>290</v>
      </c>
      <c r="K79" s="43"/>
    </row>
    <row r="80" customFormat="false" ht="13" hidden="false" customHeight="false" outlineLevel="0" collapsed="false">
      <c r="A80" s="40" t="s">
        <v>228</v>
      </c>
      <c r="B80" s="41" t="s">
        <v>291</v>
      </c>
      <c r="C80" s="40" t="s">
        <v>292</v>
      </c>
      <c r="D80" s="42" t="s">
        <v>293</v>
      </c>
      <c r="E80" s="46" t="s">
        <v>286</v>
      </c>
      <c r="F80" s="47" t="s">
        <v>294</v>
      </c>
      <c r="G80" s="44" t="s">
        <v>295</v>
      </c>
      <c r="H80" s="48" t="s">
        <v>296</v>
      </c>
      <c r="I80" s="44"/>
      <c r="J80" s="50" t="s">
        <v>297</v>
      </c>
      <c r="K80" s="43"/>
    </row>
    <row r="81" customFormat="false" ht="13" hidden="false" customHeight="false" outlineLevel="0" collapsed="false">
      <c r="A81" s="40" t="s">
        <v>228</v>
      </c>
      <c r="B81" s="41" t="s">
        <v>298</v>
      </c>
      <c r="C81" s="40" t="s">
        <v>299</v>
      </c>
      <c r="D81" s="42" t="s">
        <v>300</v>
      </c>
      <c r="E81" s="46" t="s">
        <v>286</v>
      </c>
      <c r="F81" s="47" t="s">
        <v>301</v>
      </c>
      <c r="G81" s="44" t="s">
        <v>302</v>
      </c>
      <c r="H81" s="48" t="s">
        <v>303</v>
      </c>
      <c r="I81" s="44"/>
      <c r="J81" s="50" t="s">
        <v>304</v>
      </c>
      <c r="K81" s="43"/>
    </row>
    <row r="82" customFormat="false" ht="13" hidden="false" customHeight="false" outlineLevel="0" collapsed="false">
      <c r="A82" s="40"/>
      <c r="B82" s="41" t="s">
        <v>305</v>
      </c>
      <c r="C82" s="40" t="s">
        <v>306</v>
      </c>
      <c r="D82" s="42" t="s">
        <v>307</v>
      </c>
      <c r="E82" s="46" t="s">
        <v>286</v>
      </c>
      <c r="F82" s="47" t="s">
        <v>308</v>
      </c>
      <c r="G82" s="44" t="s">
        <v>309</v>
      </c>
      <c r="H82" s="48" t="s">
        <v>310</v>
      </c>
      <c r="I82" s="44"/>
      <c r="J82" s="50" t="s">
        <v>311</v>
      </c>
      <c r="K82" s="43"/>
    </row>
    <row r="83" customFormat="false" ht="23" hidden="false" customHeight="false" outlineLevel="0" collapsed="false">
      <c r="A83" s="40" t="s">
        <v>228</v>
      </c>
      <c r="B83" s="41" t="s">
        <v>312</v>
      </c>
      <c r="C83" s="40" t="s">
        <v>313</v>
      </c>
      <c r="D83" s="42" t="s">
        <v>314</v>
      </c>
      <c r="E83" s="46" t="s">
        <v>315</v>
      </c>
      <c r="F83" s="47" t="s">
        <v>316</v>
      </c>
      <c r="G83" s="52" t="s">
        <v>317</v>
      </c>
      <c r="H83" s="48" t="s">
        <v>234</v>
      </c>
      <c r="I83" s="44"/>
      <c r="J83" s="50" t="s">
        <v>318</v>
      </c>
      <c r="K83" s="43"/>
    </row>
    <row r="84" customFormat="false" ht="62.5" hidden="false" customHeight="false" outlineLevel="0" collapsed="false">
      <c r="A84" s="54" t="s">
        <v>218</v>
      </c>
      <c r="B84" s="41" t="s">
        <v>319</v>
      </c>
      <c r="C84" s="40" t="s">
        <v>320</v>
      </c>
      <c r="D84" s="42" t="s">
        <v>321</v>
      </c>
      <c r="E84" s="46" t="s">
        <v>286</v>
      </c>
      <c r="F84" s="47" t="s">
        <v>322</v>
      </c>
      <c r="G84" s="44" t="s">
        <v>323</v>
      </c>
      <c r="H84" s="53" t="s">
        <v>324</v>
      </c>
      <c r="I84" s="44"/>
      <c r="J84" s="50" t="s">
        <v>325</v>
      </c>
      <c r="K84" s="51" t="s">
        <v>326</v>
      </c>
    </row>
    <row r="85" customFormat="false" ht="152.25" hidden="false" customHeight="true" outlineLevel="0" collapsed="false">
      <c r="A85" s="40" t="s">
        <v>228</v>
      </c>
      <c r="B85" s="41" t="s">
        <v>327</v>
      </c>
      <c r="C85" s="40" t="s">
        <v>328</v>
      </c>
      <c r="D85" s="42" t="n">
        <v>50</v>
      </c>
      <c r="E85" s="46" t="s">
        <v>329</v>
      </c>
      <c r="F85" s="47" t="s">
        <v>330</v>
      </c>
      <c r="G85" s="52" t="s">
        <v>331</v>
      </c>
      <c r="H85" s="53" t="s">
        <v>332</v>
      </c>
      <c r="I85" s="52" t="s">
        <v>333</v>
      </c>
      <c r="J85" s="55" t="s">
        <v>334</v>
      </c>
      <c r="K85" s="51" t="s">
        <v>335</v>
      </c>
    </row>
    <row r="86" customFormat="false" ht="125" hidden="false" customHeight="false" outlineLevel="0" collapsed="false">
      <c r="A86" s="40" t="s">
        <v>228</v>
      </c>
      <c r="B86" s="41" t="s">
        <v>336</v>
      </c>
      <c r="C86" s="40" t="s">
        <v>337</v>
      </c>
      <c r="D86" s="42" t="n">
        <v>51</v>
      </c>
      <c r="E86" s="46" t="s">
        <v>338</v>
      </c>
      <c r="F86" s="56" t="s">
        <v>339</v>
      </c>
      <c r="G86" s="52" t="s">
        <v>340</v>
      </c>
      <c r="H86" s="53" t="s">
        <v>341</v>
      </c>
      <c r="I86" s="52" t="s">
        <v>342</v>
      </c>
      <c r="J86" s="57" t="s">
        <v>343</v>
      </c>
      <c r="K86" s="43"/>
    </row>
    <row r="87" customFormat="false" ht="37.5" hidden="false" customHeight="false" outlineLevel="0" collapsed="false">
      <c r="A87" s="40"/>
      <c r="B87" s="41" t="s">
        <v>344</v>
      </c>
      <c r="C87" s="40" t="s">
        <v>345</v>
      </c>
      <c r="D87" s="42" t="n">
        <v>52</v>
      </c>
      <c r="E87" s="46" t="s">
        <v>346</v>
      </c>
      <c r="F87" s="56" t="s">
        <v>347</v>
      </c>
      <c r="G87" s="58" t="s">
        <v>348</v>
      </c>
      <c r="H87" s="58" t="s">
        <v>349</v>
      </c>
      <c r="I87" s="44"/>
      <c r="J87" s="45"/>
      <c r="K87" s="43"/>
    </row>
    <row r="88" customFormat="false" ht="212.5" hidden="false" customHeight="false" outlineLevel="0" collapsed="false">
      <c r="A88" s="40" t="s">
        <v>228</v>
      </c>
      <c r="B88" s="41" t="s">
        <v>350</v>
      </c>
      <c r="C88" s="40" t="s">
        <v>351</v>
      </c>
      <c r="D88" s="42" t="n">
        <v>53</v>
      </c>
      <c r="E88" s="46" t="s">
        <v>352</v>
      </c>
      <c r="F88" s="59" t="s">
        <v>353</v>
      </c>
      <c r="G88" s="52" t="s">
        <v>354</v>
      </c>
      <c r="H88" s="60" t="s">
        <v>355</v>
      </c>
      <c r="I88" s="44"/>
      <c r="J88" s="61" t="s">
        <v>356</v>
      </c>
      <c r="K88" s="43" t="s">
        <v>357</v>
      </c>
    </row>
    <row r="89" customFormat="false" ht="300" hidden="false" customHeight="false" outlineLevel="0" collapsed="false">
      <c r="A89" s="40"/>
      <c r="B89" s="41" t="s">
        <v>358</v>
      </c>
      <c r="C89" s="40" t="s">
        <v>359</v>
      </c>
      <c r="D89" s="42" t="n">
        <v>54</v>
      </c>
      <c r="E89" s="46" t="s">
        <v>360</v>
      </c>
      <c r="F89" s="56" t="s">
        <v>361</v>
      </c>
      <c r="G89" s="52" t="s">
        <v>362</v>
      </c>
      <c r="H89" s="53" t="s">
        <v>363</v>
      </c>
      <c r="I89" s="44"/>
      <c r="J89" s="62" t="s">
        <v>364</v>
      </c>
      <c r="K89" s="43"/>
    </row>
    <row r="90" customFormat="false" ht="62.5" hidden="false" customHeight="false" outlineLevel="0" collapsed="false">
      <c r="A90" s="40"/>
      <c r="B90" s="41" t="s">
        <v>365</v>
      </c>
      <c r="C90" s="40" t="s">
        <v>366</v>
      </c>
      <c r="D90" s="42" t="n">
        <v>55</v>
      </c>
      <c r="E90" s="46" t="s">
        <v>367</v>
      </c>
      <c r="F90" s="47" t="s">
        <v>368</v>
      </c>
      <c r="G90" s="52" t="s">
        <v>369</v>
      </c>
      <c r="H90" s="53" t="s">
        <v>370</v>
      </c>
      <c r="I90" s="44"/>
      <c r="J90" s="45"/>
      <c r="K90" s="43"/>
    </row>
    <row r="91" customFormat="false" ht="75" hidden="false" customHeight="false" outlineLevel="0" collapsed="false">
      <c r="A91" s="40"/>
      <c r="B91" s="41" t="s">
        <v>371</v>
      </c>
      <c r="C91" s="40" t="s">
        <v>372</v>
      </c>
      <c r="D91" s="42" t="n">
        <v>56</v>
      </c>
      <c r="E91" s="46" t="s">
        <v>373</v>
      </c>
      <c r="F91" s="47" t="s">
        <v>374</v>
      </c>
      <c r="G91" s="52" t="s">
        <v>375</v>
      </c>
      <c r="H91" s="53" t="s">
        <v>376</v>
      </c>
      <c r="I91" s="44"/>
      <c r="J91" s="50" t="s">
        <v>377</v>
      </c>
      <c r="K91" s="43"/>
    </row>
    <row r="92" customFormat="false" ht="62.5" hidden="false" customHeight="false" outlineLevel="0" collapsed="false">
      <c r="A92" s="40"/>
      <c r="B92" s="41" t="s">
        <v>378</v>
      </c>
      <c r="C92" s="40" t="s">
        <v>379</v>
      </c>
      <c r="D92" s="42" t="n">
        <v>57</v>
      </c>
      <c r="E92" s="46"/>
      <c r="F92" s="47" t="s">
        <v>380</v>
      </c>
      <c r="G92" s="44" t="s">
        <v>381</v>
      </c>
      <c r="H92" s="21" t="s">
        <v>382</v>
      </c>
      <c r="I92" s="44"/>
      <c r="J92" s="63" t="s">
        <v>383</v>
      </c>
      <c r="K92" s="43" t="s">
        <v>384</v>
      </c>
    </row>
    <row r="93" customFormat="false" ht="12.5" hidden="false" customHeight="false" outlineLevel="0" collapsed="false">
      <c r="A93" s="40"/>
      <c r="B93" s="41" t="s">
        <v>385</v>
      </c>
      <c r="C93" s="40" t="s">
        <v>386</v>
      </c>
      <c r="D93" s="42" t="n">
        <v>58</v>
      </c>
      <c r="E93" s="46"/>
      <c r="F93" s="47" t="s">
        <v>387</v>
      </c>
      <c r="G93" s="44"/>
      <c r="H93" s="48"/>
      <c r="I93" s="44"/>
      <c r="J93" s="45"/>
      <c r="K93" s="43"/>
    </row>
    <row r="94" customFormat="false" ht="37.5" hidden="false" customHeight="false" outlineLevel="0" collapsed="false">
      <c r="A94" s="40"/>
      <c r="B94" s="41" t="s">
        <v>388</v>
      </c>
      <c r="C94" s="40" t="s">
        <v>228</v>
      </c>
      <c r="D94" s="42" t="n">
        <v>59</v>
      </c>
      <c r="E94" s="46" t="s">
        <v>389</v>
      </c>
      <c r="F94" s="20" t="s">
        <v>390</v>
      </c>
      <c r="G94" s="52" t="s">
        <v>391</v>
      </c>
      <c r="H94" s="53" t="s">
        <v>392</v>
      </c>
      <c r="I94" s="44"/>
      <c r="J94" s="64" t="s">
        <v>393</v>
      </c>
      <c r="K94" s="43" t="s">
        <v>394</v>
      </c>
    </row>
    <row r="95" customFormat="false" ht="25" hidden="false" customHeight="false" outlineLevel="0" collapsed="false">
      <c r="A95" s="40"/>
      <c r="B95" s="41" t="s">
        <v>395</v>
      </c>
      <c r="C95" s="40" t="s">
        <v>396</v>
      </c>
      <c r="D95" s="42" t="s">
        <v>397</v>
      </c>
      <c r="E95" s="46" t="s">
        <v>398</v>
      </c>
      <c r="F95" s="47" t="s">
        <v>399</v>
      </c>
      <c r="G95" s="44" t="s">
        <v>400</v>
      </c>
      <c r="H95" s="48" t="s">
        <v>401</v>
      </c>
      <c r="I95" s="44"/>
      <c r="J95" s="64" t="s">
        <v>402</v>
      </c>
      <c r="K95" s="43" t="s">
        <v>403</v>
      </c>
    </row>
    <row r="96" customFormat="false" ht="25" hidden="false" customHeight="false" outlineLevel="0" collapsed="false">
      <c r="A96" s="40"/>
      <c r="B96" s="41" t="s">
        <v>404</v>
      </c>
      <c r="C96" s="40" t="s">
        <v>405</v>
      </c>
      <c r="D96" s="42" t="s">
        <v>406</v>
      </c>
      <c r="E96" s="46" t="s">
        <v>407</v>
      </c>
      <c r="F96" s="65" t="s">
        <v>408</v>
      </c>
      <c r="G96" s="44" t="s">
        <v>409</v>
      </c>
      <c r="H96" s="48" t="s">
        <v>234</v>
      </c>
      <c r="I96" s="44"/>
      <c r="J96" s="66" t="s">
        <v>410</v>
      </c>
      <c r="K96" s="43"/>
    </row>
    <row r="97" customFormat="false" ht="12.5" hidden="false" customHeight="false" outlineLevel="0" collapsed="false">
      <c r="A97" s="40"/>
      <c r="B97" s="41" t="s">
        <v>411</v>
      </c>
      <c r="C97" s="40" t="s">
        <v>190</v>
      </c>
      <c r="D97" s="42" t="s">
        <v>412</v>
      </c>
      <c r="E97" s="46"/>
      <c r="F97" s="47"/>
      <c r="G97" s="44"/>
      <c r="H97" s="48"/>
      <c r="I97" s="44"/>
      <c r="J97" s="45"/>
      <c r="K97" s="43"/>
    </row>
    <row r="98" customFormat="false" ht="12.5" hidden="false" customHeight="false" outlineLevel="0" collapsed="false">
      <c r="A98" s="40"/>
      <c r="B98" s="41" t="s">
        <v>413</v>
      </c>
      <c r="C98" s="40" t="s">
        <v>414</v>
      </c>
      <c r="D98" s="42" t="s">
        <v>415</v>
      </c>
      <c r="E98" s="46"/>
      <c r="F98" s="47"/>
      <c r="G98" s="44"/>
      <c r="H98" s="48"/>
      <c r="I98" s="44"/>
      <c r="J98" s="45"/>
      <c r="K98" s="43"/>
    </row>
    <row r="99" customFormat="false" ht="12.5" hidden="false" customHeight="false" outlineLevel="0" collapsed="false">
      <c r="A99" s="40"/>
      <c r="B99" s="41" t="s">
        <v>416</v>
      </c>
      <c r="C99" s="40" t="s">
        <v>417</v>
      </c>
      <c r="D99" s="42" t="s">
        <v>418</v>
      </c>
      <c r="E99" s="46"/>
      <c r="F99" s="47"/>
      <c r="G99" s="44"/>
      <c r="H99" s="48"/>
      <c r="I99" s="44"/>
      <c r="J99" s="45"/>
      <c r="K99" s="43"/>
    </row>
    <row r="100" customFormat="false" ht="12.5" hidden="false" customHeight="false" outlineLevel="0" collapsed="false">
      <c r="A100" s="40"/>
      <c r="B100" s="41" t="s">
        <v>419</v>
      </c>
      <c r="C100" s="40" t="s">
        <v>420</v>
      </c>
      <c r="D100" s="42" t="s">
        <v>421</v>
      </c>
      <c r="E100" s="46"/>
      <c r="F100" s="47"/>
      <c r="G100" s="44"/>
      <c r="H100" s="48"/>
      <c r="I100" s="44"/>
      <c r="J100" s="45"/>
      <c r="K100" s="43"/>
    </row>
    <row r="101" customFormat="false" ht="12.5" hidden="false" customHeight="false" outlineLevel="0" collapsed="false">
      <c r="A101" s="40"/>
      <c r="B101" s="41" t="s">
        <v>422</v>
      </c>
      <c r="C101" s="40" t="s">
        <v>423</v>
      </c>
      <c r="D101" s="42" t="n">
        <v>60</v>
      </c>
      <c r="E101" s="46"/>
      <c r="F101" s="47"/>
      <c r="G101" s="44"/>
      <c r="H101" s="48"/>
      <c r="I101" s="44"/>
      <c r="J101" s="45"/>
      <c r="K101" s="43"/>
    </row>
    <row r="102" customFormat="false" ht="25.5" hidden="false" customHeight="false" outlineLevel="0" collapsed="false">
      <c r="A102" s="40" t="s">
        <v>228</v>
      </c>
      <c r="B102" s="41" t="s">
        <v>424</v>
      </c>
      <c r="C102" s="40" t="s">
        <v>425</v>
      </c>
      <c r="D102" s="42" t="n">
        <v>61</v>
      </c>
      <c r="E102" s="46" t="s">
        <v>426</v>
      </c>
      <c r="F102" s="47" t="s">
        <v>427</v>
      </c>
      <c r="G102" s="52" t="s">
        <v>428</v>
      </c>
      <c r="H102" s="53" t="s">
        <v>429</v>
      </c>
      <c r="I102" s="44"/>
      <c r="J102" s="50" t="s">
        <v>430</v>
      </c>
      <c r="K102" s="43"/>
    </row>
    <row r="103" customFormat="false" ht="62.5" hidden="false" customHeight="false" outlineLevel="0" collapsed="false">
      <c r="A103" s="40"/>
      <c r="B103" s="41" t="s">
        <v>431</v>
      </c>
      <c r="C103" s="40" t="s">
        <v>432</v>
      </c>
      <c r="D103" s="42" t="n">
        <v>62</v>
      </c>
      <c r="E103" s="46" t="s">
        <v>433</v>
      </c>
      <c r="F103" s="47" t="s">
        <v>434</v>
      </c>
      <c r="G103" s="44" t="s">
        <v>435</v>
      </c>
      <c r="H103" s="48" t="s">
        <v>436</v>
      </c>
      <c r="I103" s="44"/>
      <c r="J103" s="45"/>
      <c r="K103" s="43"/>
    </row>
    <row r="104" customFormat="false" ht="25" hidden="false" customHeight="false" outlineLevel="0" collapsed="false">
      <c r="A104" s="40"/>
      <c r="B104" s="41" t="s">
        <v>437</v>
      </c>
      <c r="C104" s="40" t="s">
        <v>438</v>
      </c>
      <c r="D104" s="42" t="n">
        <v>63</v>
      </c>
      <c r="E104" s="46"/>
      <c r="F104" s="47" t="s">
        <v>439</v>
      </c>
      <c r="G104" s="44" t="s">
        <v>440</v>
      </c>
      <c r="H104" s="48" t="s">
        <v>441</v>
      </c>
      <c r="I104" s="44"/>
      <c r="J104" s="45"/>
      <c r="K104" s="43"/>
    </row>
    <row r="105" customFormat="false" ht="23.95" hidden="false" customHeight="false" outlineLevel="0" collapsed="false">
      <c r="A105" s="40"/>
      <c r="B105" s="41" t="s">
        <v>442</v>
      </c>
      <c r="C105" s="40" t="s">
        <v>443</v>
      </c>
      <c r="D105" s="42" t="n">
        <v>64</v>
      </c>
      <c r="E105" s="46"/>
      <c r="F105" s="67" t="s">
        <v>444</v>
      </c>
      <c r="G105" s="44" t="s">
        <v>445</v>
      </c>
      <c r="H105" s="48" t="s">
        <v>234</v>
      </c>
      <c r="I105" s="44"/>
      <c r="J105" s="45"/>
      <c r="K105" s="43"/>
    </row>
    <row r="106" customFormat="false" ht="175" hidden="false" customHeight="false" outlineLevel="0" collapsed="false">
      <c r="A106" s="40"/>
      <c r="B106" s="41" t="s">
        <v>446</v>
      </c>
      <c r="C106" s="40" t="s">
        <v>447</v>
      </c>
      <c r="D106" s="42" t="n">
        <v>65</v>
      </c>
      <c r="E106" s="46"/>
      <c r="F106" s="47" t="s">
        <v>448</v>
      </c>
      <c r="G106" s="44" t="s">
        <v>449</v>
      </c>
      <c r="H106" s="21" t="s">
        <v>450</v>
      </c>
      <c r="I106" s="44"/>
      <c r="J106" s="64" t="s">
        <v>451</v>
      </c>
      <c r="K106" s="43" t="s">
        <v>452</v>
      </c>
    </row>
    <row r="107" customFormat="false" ht="23" hidden="false" customHeight="false" outlineLevel="0" collapsed="false">
      <c r="A107" s="40"/>
      <c r="B107" s="41" t="s">
        <v>453</v>
      </c>
      <c r="C107" s="40" t="s">
        <v>454</v>
      </c>
      <c r="D107" s="42" t="n">
        <v>66</v>
      </c>
      <c r="E107" s="46" t="s">
        <v>455</v>
      </c>
      <c r="F107" s="47" t="s">
        <v>456</v>
      </c>
      <c r="G107" s="52" t="s">
        <v>457</v>
      </c>
      <c r="H107" s="53" t="s">
        <v>458</v>
      </c>
      <c r="I107" s="44"/>
      <c r="J107" s="45"/>
      <c r="K107" s="43"/>
    </row>
    <row r="108" customFormat="false" ht="25" hidden="false" customHeight="false" outlineLevel="0" collapsed="false">
      <c r="A108" s="40"/>
      <c r="B108" s="41" t="s">
        <v>459</v>
      </c>
      <c r="C108" s="40" t="s">
        <v>460</v>
      </c>
      <c r="D108" s="42" t="n">
        <v>67</v>
      </c>
      <c r="E108" s="46"/>
      <c r="F108" s="47" t="s">
        <v>461</v>
      </c>
      <c r="G108" s="44" t="s">
        <v>462</v>
      </c>
      <c r="H108" s="48" t="s">
        <v>463</v>
      </c>
      <c r="I108" s="44"/>
      <c r="J108" s="68" t="s">
        <v>464</v>
      </c>
      <c r="K108" s="43" t="s">
        <v>465</v>
      </c>
    </row>
    <row r="109" customFormat="false" ht="13" hidden="false" customHeight="false" outlineLevel="0" collapsed="false">
      <c r="A109" s="40"/>
      <c r="B109" s="41" t="s">
        <v>466</v>
      </c>
      <c r="C109" s="40" t="s">
        <v>467</v>
      </c>
      <c r="D109" s="42" t="n">
        <v>68</v>
      </c>
      <c r="E109" s="46"/>
      <c r="F109" s="47" t="s">
        <v>468</v>
      </c>
      <c r="G109" s="44" t="s">
        <v>469</v>
      </c>
      <c r="H109" s="48" t="s">
        <v>463</v>
      </c>
      <c r="I109" s="44"/>
      <c r="J109" s="69" t="s">
        <v>470</v>
      </c>
      <c r="K109" s="43" t="s">
        <v>471</v>
      </c>
    </row>
    <row r="110" customFormat="false" ht="62.5" hidden="false" customHeight="false" outlineLevel="0" collapsed="false">
      <c r="A110" s="40" t="s">
        <v>228</v>
      </c>
      <c r="B110" s="41" t="s">
        <v>472</v>
      </c>
      <c r="C110" s="40" t="s">
        <v>473</v>
      </c>
      <c r="D110" s="42" t="n">
        <v>69</v>
      </c>
      <c r="E110" s="46" t="s">
        <v>474</v>
      </c>
      <c r="F110" s="47" t="s">
        <v>475</v>
      </c>
      <c r="G110" s="44" t="s">
        <v>476</v>
      </c>
      <c r="H110" s="48" t="s">
        <v>240</v>
      </c>
      <c r="I110" s="52" t="s">
        <v>477</v>
      </c>
      <c r="J110" s="66" t="s">
        <v>478</v>
      </c>
      <c r="K110" s="43"/>
    </row>
    <row r="111" customFormat="false" ht="23" hidden="false" customHeight="false" outlineLevel="0" collapsed="false">
      <c r="A111" s="40" t="s">
        <v>228</v>
      </c>
      <c r="B111" s="41" t="s">
        <v>479</v>
      </c>
      <c r="C111" s="40" t="s">
        <v>480</v>
      </c>
      <c r="D111" s="42" t="s">
        <v>481</v>
      </c>
      <c r="E111" s="46" t="s">
        <v>482</v>
      </c>
      <c r="F111" s="47" t="s">
        <v>483</v>
      </c>
      <c r="G111" s="52" t="s">
        <v>484</v>
      </c>
      <c r="H111" s="53" t="s">
        <v>332</v>
      </c>
      <c r="I111" s="44"/>
      <c r="J111" s="64" t="s">
        <v>485</v>
      </c>
      <c r="K111" s="43"/>
    </row>
    <row r="112" customFormat="false" ht="13" hidden="false" customHeight="false" outlineLevel="0" collapsed="false">
      <c r="A112" s="40" t="s">
        <v>228</v>
      </c>
      <c r="B112" s="41" t="s">
        <v>486</v>
      </c>
      <c r="C112" s="40" t="s">
        <v>487</v>
      </c>
      <c r="D112" s="42" t="s">
        <v>488</v>
      </c>
      <c r="E112" s="46"/>
      <c r="F112" s="47" t="s">
        <v>489</v>
      </c>
      <c r="G112" s="44" t="s">
        <v>490</v>
      </c>
      <c r="H112" s="48" t="s">
        <v>491</v>
      </c>
      <c r="I112" s="44"/>
      <c r="J112" s="64" t="s">
        <v>492</v>
      </c>
      <c r="K112" s="43" t="s">
        <v>493</v>
      </c>
    </row>
    <row r="113" customFormat="false" ht="13" hidden="false" customHeight="false" outlineLevel="0" collapsed="false">
      <c r="A113" s="40" t="s">
        <v>228</v>
      </c>
      <c r="B113" s="41" t="s">
        <v>494</v>
      </c>
      <c r="C113" s="40" t="s">
        <v>495</v>
      </c>
      <c r="D113" s="42" t="s">
        <v>496</v>
      </c>
      <c r="E113" s="46"/>
      <c r="F113" s="47" t="s">
        <v>497</v>
      </c>
      <c r="G113" s="44" t="s">
        <v>498</v>
      </c>
      <c r="H113" s="48" t="s">
        <v>491</v>
      </c>
      <c r="I113" s="44"/>
      <c r="J113" s="50" t="s">
        <v>499</v>
      </c>
      <c r="K113" s="43" t="s">
        <v>500</v>
      </c>
    </row>
    <row r="114" customFormat="false" ht="13" hidden="false" customHeight="false" outlineLevel="0" collapsed="false">
      <c r="A114" s="40" t="s">
        <v>228</v>
      </c>
      <c r="B114" s="41" t="s">
        <v>501</v>
      </c>
      <c r="C114" s="40" t="s">
        <v>502</v>
      </c>
      <c r="D114" s="42" t="s">
        <v>503</v>
      </c>
      <c r="E114" s="46"/>
      <c r="F114" s="47" t="s">
        <v>504</v>
      </c>
      <c r="G114" s="44" t="s">
        <v>505</v>
      </c>
      <c r="H114" s="48" t="s">
        <v>491</v>
      </c>
      <c r="I114" s="44"/>
      <c r="J114" s="50" t="s">
        <v>499</v>
      </c>
      <c r="K114" s="43" t="s">
        <v>500</v>
      </c>
    </row>
    <row r="115" customFormat="false" ht="13" hidden="false" customHeight="false" outlineLevel="0" collapsed="false">
      <c r="A115" s="40" t="s">
        <v>228</v>
      </c>
      <c r="B115" s="41" t="s">
        <v>506</v>
      </c>
      <c r="C115" s="40" t="s">
        <v>507</v>
      </c>
      <c r="D115" s="42" t="s">
        <v>508</v>
      </c>
      <c r="E115" s="46"/>
      <c r="F115" s="47" t="s">
        <v>509</v>
      </c>
      <c r="G115" s="44" t="s">
        <v>510</v>
      </c>
      <c r="H115" s="48" t="s">
        <v>491</v>
      </c>
      <c r="I115" s="44"/>
      <c r="J115" s="50" t="s">
        <v>499</v>
      </c>
      <c r="K115" s="43" t="s">
        <v>500</v>
      </c>
    </row>
    <row r="116" customFormat="false" ht="23" hidden="false" customHeight="false" outlineLevel="0" collapsed="false">
      <c r="A116" s="40"/>
      <c r="B116" s="41" t="s">
        <v>511</v>
      </c>
      <c r="C116" s="40" t="s">
        <v>512</v>
      </c>
      <c r="D116" s="42" t="s">
        <v>513</v>
      </c>
      <c r="E116" s="46" t="s">
        <v>514</v>
      </c>
      <c r="F116" s="47" t="s">
        <v>515</v>
      </c>
      <c r="G116" s="52" t="s">
        <v>516</v>
      </c>
      <c r="H116" s="53" t="s">
        <v>517</v>
      </c>
      <c r="I116" s="44"/>
      <c r="J116" s="45"/>
      <c r="K116" s="43"/>
    </row>
    <row r="117" customFormat="false" ht="23" hidden="false" customHeight="false" outlineLevel="0" collapsed="false">
      <c r="A117" s="40"/>
      <c r="B117" s="41" t="s">
        <v>518</v>
      </c>
      <c r="C117" s="40" t="s">
        <v>519</v>
      </c>
      <c r="D117" s="42" t="s">
        <v>520</v>
      </c>
      <c r="E117" s="46" t="s">
        <v>521</v>
      </c>
      <c r="F117" s="47" t="s">
        <v>522</v>
      </c>
      <c r="G117" s="52" t="s">
        <v>523</v>
      </c>
      <c r="H117" s="53" t="s">
        <v>524</v>
      </c>
      <c r="I117" s="44"/>
      <c r="J117" s="45"/>
      <c r="K117" s="43"/>
    </row>
    <row r="118" customFormat="false" ht="23" hidden="false" customHeight="false" outlineLevel="0" collapsed="false">
      <c r="A118" s="40"/>
      <c r="B118" s="41" t="s">
        <v>525</v>
      </c>
      <c r="C118" s="40" t="s">
        <v>526</v>
      </c>
      <c r="D118" s="42" t="s">
        <v>527</v>
      </c>
      <c r="E118" s="46" t="s">
        <v>521</v>
      </c>
      <c r="F118" s="47" t="s">
        <v>522</v>
      </c>
      <c r="G118" s="52" t="s">
        <v>528</v>
      </c>
      <c r="H118" s="53" t="s">
        <v>529</v>
      </c>
      <c r="I118" s="44"/>
      <c r="J118" s="45"/>
      <c r="K118" s="43"/>
    </row>
    <row r="119" customFormat="false" ht="37.5" hidden="false" customHeight="false" outlineLevel="0" collapsed="false">
      <c r="A119" s="40" t="s">
        <v>228</v>
      </c>
      <c r="B119" s="41" t="s">
        <v>530</v>
      </c>
      <c r="C119" s="40" t="s">
        <v>531</v>
      </c>
      <c r="D119" s="42" t="s">
        <v>532</v>
      </c>
      <c r="E119" s="46" t="s">
        <v>533</v>
      </c>
      <c r="F119" s="47" t="s">
        <v>534</v>
      </c>
      <c r="G119" s="44" t="s">
        <v>535</v>
      </c>
      <c r="H119" s="48" t="s">
        <v>491</v>
      </c>
      <c r="I119" s="44"/>
      <c r="J119" s="50" t="s">
        <v>499</v>
      </c>
      <c r="K119" s="43" t="s">
        <v>500</v>
      </c>
    </row>
    <row r="120" customFormat="false" ht="13" hidden="false" customHeight="false" outlineLevel="0" collapsed="false">
      <c r="A120" s="40" t="s">
        <v>228</v>
      </c>
      <c r="B120" s="41" t="s">
        <v>536</v>
      </c>
      <c r="C120" s="40" t="s">
        <v>537</v>
      </c>
      <c r="D120" s="42" t="s">
        <v>538</v>
      </c>
      <c r="E120" s="46"/>
      <c r="F120" s="47" t="s">
        <v>539</v>
      </c>
      <c r="G120" s="44" t="s">
        <v>540</v>
      </c>
      <c r="H120" s="48" t="s">
        <v>491</v>
      </c>
      <c r="I120" s="44"/>
      <c r="J120" s="64" t="s">
        <v>541</v>
      </c>
      <c r="K120" s="43"/>
    </row>
    <row r="121" customFormat="false" ht="100" hidden="false" customHeight="false" outlineLevel="0" collapsed="false">
      <c r="A121" s="40" t="s">
        <v>228</v>
      </c>
      <c r="B121" s="41" t="s">
        <v>542</v>
      </c>
      <c r="C121" s="40" t="s">
        <v>543</v>
      </c>
      <c r="D121" s="42" t="s">
        <v>544</v>
      </c>
      <c r="E121" s="46" t="s">
        <v>545</v>
      </c>
      <c r="F121" s="47" t="s">
        <v>546</v>
      </c>
      <c r="G121" s="52" t="s">
        <v>547</v>
      </c>
      <c r="H121" s="53" t="s">
        <v>262</v>
      </c>
      <c r="I121" s="44"/>
      <c r="J121" s="64" t="s">
        <v>548</v>
      </c>
      <c r="K121" s="43" t="s">
        <v>549</v>
      </c>
    </row>
    <row r="122" customFormat="false" ht="87.5" hidden="false" customHeight="false" outlineLevel="0" collapsed="false">
      <c r="A122" s="40"/>
      <c r="B122" s="41" t="s">
        <v>550</v>
      </c>
      <c r="C122" s="40" t="s">
        <v>551</v>
      </c>
      <c r="D122" s="42" t="s">
        <v>552</v>
      </c>
      <c r="E122" s="46"/>
      <c r="F122" s="47" t="s">
        <v>553</v>
      </c>
      <c r="G122" s="44" t="s">
        <v>554</v>
      </c>
      <c r="H122" s="48" t="s">
        <v>240</v>
      </c>
      <c r="I122" s="44"/>
      <c r="J122" s="64" t="s">
        <v>555</v>
      </c>
      <c r="K122" s="43" t="s">
        <v>556</v>
      </c>
    </row>
    <row r="123" customFormat="false" ht="112.5" hidden="false" customHeight="false" outlineLevel="0" collapsed="false">
      <c r="A123" s="40" t="s">
        <v>228</v>
      </c>
      <c r="B123" s="41" t="s">
        <v>557</v>
      </c>
      <c r="C123" s="40" t="s">
        <v>558</v>
      </c>
      <c r="D123" s="42" t="s">
        <v>559</v>
      </c>
      <c r="E123" s="46"/>
      <c r="F123" s="70" t="s">
        <v>560</v>
      </c>
      <c r="G123" s="44" t="s">
        <v>561</v>
      </c>
      <c r="H123" s="71" t="s">
        <v>562</v>
      </c>
      <c r="I123" s="44"/>
      <c r="J123" s="64" t="s">
        <v>563</v>
      </c>
      <c r="K123" s="43" t="s">
        <v>564</v>
      </c>
    </row>
    <row r="124" customFormat="false" ht="37.5" hidden="false" customHeight="false" outlineLevel="0" collapsed="false">
      <c r="A124" s="40"/>
      <c r="B124" s="41" t="s">
        <v>565</v>
      </c>
      <c r="C124" s="40" t="s">
        <v>566</v>
      </c>
      <c r="D124" s="42" t="s">
        <v>567</v>
      </c>
      <c r="E124" s="46" t="s">
        <v>568</v>
      </c>
      <c r="F124" s="47" t="s">
        <v>569</v>
      </c>
      <c r="G124" s="52" t="s">
        <v>570</v>
      </c>
      <c r="H124" s="53" t="s">
        <v>571</v>
      </c>
      <c r="I124" s="44"/>
      <c r="J124" s="45"/>
      <c r="K124" s="43"/>
    </row>
    <row r="125" customFormat="false" ht="37.5" hidden="false" customHeight="false" outlineLevel="0" collapsed="false">
      <c r="A125" s="40"/>
      <c r="B125" s="41" t="s">
        <v>572</v>
      </c>
      <c r="C125" s="40" t="s">
        <v>573</v>
      </c>
      <c r="D125" s="42" t="s">
        <v>574</v>
      </c>
      <c r="E125" s="46" t="s">
        <v>568</v>
      </c>
      <c r="F125" s="47" t="s">
        <v>569</v>
      </c>
      <c r="G125" s="52" t="s">
        <v>575</v>
      </c>
      <c r="H125" s="53" t="s">
        <v>576</v>
      </c>
      <c r="I125" s="44"/>
      <c r="J125" s="45"/>
      <c r="K125" s="43"/>
    </row>
    <row r="126" customFormat="false" ht="34.5" hidden="false" customHeight="false" outlineLevel="0" collapsed="false">
      <c r="A126" s="40"/>
      <c r="B126" s="41" t="s">
        <v>577</v>
      </c>
      <c r="C126" s="40" t="s">
        <v>578</v>
      </c>
      <c r="D126" s="42" t="s">
        <v>579</v>
      </c>
      <c r="E126" s="46" t="s">
        <v>514</v>
      </c>
      <c r="F126" s="47" t="s">
        <v>580</v>
      </c>
      <c r="G126" s="52" t="s">
        <v>581</v>
      </c>
      <c r="H126" s="53" t="s">
        <v>582</v>
      </c>
      <c r="I126" s="44"/>
      <c r="J126" s="45"/>
      <c r="K126" s="43"/>
    </row>
    <row r="127" customFormat="false" ht="37.5" hidden="false" customHeight="false" outlineLevel="0" collapsed="false">
      <c r="A127" s="40"/>
      <c r="B127" s="41" t="s">
        <v>583</v>
      </c>
      <c r="C127" s="40" t="s">
        <v>584</v>
      </c>
      <c r="D127" s="42" t="s">
        <v>585</v>
      </c>
      <c r="E127" s="46" t="s">
        <v>514</v>
      </c>
      <c r="F127" s="47" t="s">
        <v>586</v>
      </c>
      <c r="G127" s="44" t="s">
        <v>587</v>
      </c>
      <c r="H127" s="48" t="s">
        <v>240</v>
      </c>
      <c r="I127" s="44"/>
      <c r="J127" s="69"/>
      <c r="K127" s="43" t="s">
        <v>588</v>
      </c>
    </row>
    <row r="128" customFormat="false" ht="12.5" hidden="false" customHeight="false" outlineLevel="0" collapsed="false">
      <c r="A128" s="40"/>
      <c r="B128" s="41" t="s">
        <v>589</v>
      </c>
      <c r="C128" s="40" t="s">
        <v>590</v>
      </c>
      <c r="D128" s="42" t="s">
        <v>591</v>
      </c>
      <c r="E128" s="46"/>
      <c r="F128" s="47"/>
      <c r="G128" s="44"/>
      <c r="H128" s="48"/>
      <c r="I128" s="44"/>
      <c r="J128" s="45"/>
      <c r="K128" s="43"/>
    </row>
    <row r="129" customFormat="false" ht="12.5" hidden="false" customHeight="false" outlineLevel="0" collapsed="false">
      <c r="A129" s="40"/>
      <c r="B129" s="41" t="s">
        <v>592</v>
      </c>
      <c r="C129" s="40" t="s">
        <v>593</v>
      </c>
      <c r="D129" s="42" t="s">
        <v>594</v>
      </c>
      <c r="E129" s="46"/>
      <c r="F129" s="47"/>
      <c r="G129" s="44"/>
      <c r="H129" s="48"/>
      <c r="I129" s="44"/>
      <c r="J129" s="45"/>
      <c r="K129" s="43"/>
    </row>
    <row r="130" customFormat="false" ht="12.5" hidden="false" customHeight="false" outlineLevel="0" collapsed="false">
      <c r="A130" s="40"/>
      <c r="B130" s="41" t="s">
        <v>595</v>
      </c>
      <c r="C130" s="40" t="s">
        <v>596</v>
      </c>
      <c r="D130" s="42" t="s">
        <v>597</v>
      </c>
      <c r="E130" s="46"/>
      <c r="F130" s="47"/>
      <c r="G130" s="44"/>
      <c r="H130" s="48"/>
      <c r="I130" s="44"/>
      <c r="J130" s="45"/>
      <c r="K130" s="43"/>
    </row>
    <row r="131" customFormat="false" ht="12.5" hidden="false" customHeight="false" outlineLevel="0" collapsed="false">
      <c r="A131" s="40"/>
      <c r="B131" s="41" t="s">
        <v>598</v>
      </c>
      <c r="C131" s="40" t="s">
        <v>599</v>
      </c>
      <c r="D131" s="42" t="s">
        <v>600</v>
      </c>
      <c r="E131" s="46"/>
      <c r="F131" s="47"/>
      <c r="G131" s="44"/>
      <c r="H131" s="48"/>
      <c r="I131" s="44"/>
      <c r="J131" s="45"/>
      <c r="K131" s="43"/>
    </row>
    <row r="132" customFormat="false" ht="12.5" hidden="false" customHeight="false" outlineLevel="0" collapsed="false">
      <c r="A132" s="40"/>
      <c r="B132" s="41" t="s">
        <v>601</v>
      </c>
      <c r="C132" s="40" t="s">
        <v>602</v>
      </c>
      <c r="D132" s="42" t="s">
        <v>603</v>
      </c>
      <c r="E132" s="46"/>
      <c r="F132" s="47"/>
      <c r="G132" s="44"/>
      <c r="H132" s="48"/>
      <c r="I132" s="44"/>
      <c r="J132" s="45"/>
      <c r="K132" s="43"/>
    </row>
    <row r="133" customFormat="false" ht="12.5" hidden="false" customHeight="false" outlineLevel="0" collapsed="false">
      <c r="A133" s="40" t="s">
        <v>604</v>
      </c>
      <c r="B133" s="41"/>
      <c r="C133" s="40"/>
      <c r="D133" s="42"/>
      <c r="E133" s="46"/>
      <c r="F133" s="43"/>
      <c r="I133" s="44"/>
      <c r="J133" s="45"/>
      <c r="K133" s="43"/>
    </row>
    <row r="134" customFormat="false" ht="12.5" hidden="false" customHeight="false" outlineLevel="0" collapsed="false">
      <c r="A134" s="72" t="s">
        <v>228</v>
      </c>
      <c r="B134" s="7"/>
      <c r="C134" s="6" t="s">
        <v>230</v>
      </c>
      <c r="D134" s="73" t="n">
        <v>41</v>
      </c>
      <c r="E134" s="74"/>
      <c r="F134" s="75" t="s">
        <v>605</v>
      </c>
      <c r="I134" s="44"/>
      <c r="J134" s="76"/>
      <c r="K134" s="43"/>
    </row>
    <row r="135" customFormat="false" ht="25" hidden="false" customHeight="false" outlineLevel="0" collapsed="false">
      <c r="A135" s="72" t="s">
        <v>228</v>
      </c>
      <c r="B135" s="7"/>
      <c r="C135" s="6" t="s">
        <v>237</v>
      </c>
      <c r="D135" s="73" t="n">
        <v>42</v>
      </c>
      <c r="E135" s="74"/>
      <c r="F135" s="75" t="s">
        <v>606</v>
      </c>
      <c r="I135" s="44"/>
      <c r="J135" s="77"/>
      <c r="K135" s="43"/>
    </row>
    <row r="136" customFormat="false" ht="12.5" hidden="false" customHeight="false" outlineLevel="0" collapsed="false">
      <c r="A136" s="72"/>
      <c r="B136" s="7"/>
      <c r="C136" s="6" t="s">
        <v>244</v>
      </c>
      <c r="D136" s="73" t="n">
        <v>43</v>
      </c>
      <c r="E136" s="74"/>
      <c r="F136" s="75"/>
      <c r="I136" s="44"/>
      <c r="J136" s="77"/>
      <c r="K136" s="43"/>
    </row>
    <row r="137" customFormat="false" ht="12.5" hidden="false" customHeight="false" outlineLevel="0" collapsed="false">
      <c r="A137" s="72"/>
      <c r="B137" s="7"/>
      <c r="C137" s="6" t="s">
        <v>249</v>
      </c>
      <c r="D137" s="73" t="n">
        <v>44</v>
      </c>
      <c r="E137" s="74"/>
      <c r="F137" s="75"/>
      <c r="I137" s="44"/>
      <c r="J137" s="77"/>
      <c r="K137" s="43"/>
    </row>
    <row r="138" customFormat="false" ht="12.5" hidden="false" customHeight="false" outlineLevel="0" collapsed="false">
      <c r="A138" s="72" t="s">
        <v>228</v>
      </c>
      <c r="B138" s="7"/>
      <c r="C138" s="6" t="s">
        <v>254</v>
      </c>
      <c r="D138" s="73" t="n">
        <v>45</v>
      </c>
      <c r="E138" s="74"/>
      <c r="F138" s="75" t="s">
        <v>607</v>
      </c>
      <c r="I138" s="44"/>
      <c r="J138" s="77"/>
      <c r="K138" s="43"/>
    </row>
    <row r="139" customFormat="false" ht="13" hidden="false" customHeight="false" outlineLevel="0" collapsed="false">
      <c r="A139" s="72" t="s">
        <v>228</v>
      </c>
      <c r="B139" s="7"/>
      <c r="C139" s="6" t="s">
        <v>259</v>
      </c>
      <c r="D139" s="73" t="n">
        <v>46</v>
      </c>
      <c r="E139" s="74"/>
      <c r="F139" s="75" t="s">
        <v>608</v>
      </c>
      <c r="I139" s="44"/>
      <c r="J139" s="78" t="s">
        <v>609</v>
      </c>
      <c r="K139" s="43"/>
    </row>
    <row r="140" customFormat="false" ht="12.5" hidden="false" customHeight="false" outlineLevel="0" collapsed="false">
      <c r="A140" s="72" t="s">
        <v>228</v>
      </c>
      <c r="B140" s="7"/>
      <c r="C140" s="6" t="s">
        <v>264</v>
      </c>
      <c r="D140" s="73" t="n">
        <v>47</v>
      </c>
      <c r="E140" s="74"/>
      <c r="F140" s="75" t="s">
        <v>610</v>
      </c>
      <c r="I140" s="44"/>
      <c r="J140" s="77"/>
      <c r="K140" s="43"/>
    </row>
    <row r="141" customFormat="false" ht="12.5" hidden="false" customHeight="false" outlineLevel="0" collapsed="false">
      <c r="A141" s="72" t="s">
        <v>228</v>
      </c>
      <c r="B141" s="7"/>
      <c r="C141" s="6" t="s">
        <v>268</v>
      </c>
      <c r="D141" s="73" t="n">
        <v>48</v>
      </c>
      <c r="E141" s="74"/>
      <c r="F141" s="75" t="s">
        <v>611</v>
      </c>
      <c r="I141" s="44"/>
      <c r="J141" s="77"/>
      <c r="K141" s="43"/>
    </row>
    <row r="142" customFormat="false" ht="25" hidden="false" customHeight="false" outlineLevel="0" collapsed="false">
      <c r="A142" s="72" t="s">
        <v>228</v>
      </c>
      <c r="B142" s="7"/>
      <c r="C142" s="6" t="s">
        <v>276</v>
      </c>
      <c r="D142" s="73" t="n">
        <v>49</v>
      </c>
      <c r="E142" s="74"/>
      <c r="F142" s="75" t="s">
        <v>612</v>
      </c>
      <c r="I142" s="44"/>
      <c r="J142" s="77"/>
      <c r="K142" s="43"/>
    </row>
    <row r="143" customFormat="false" ht="25" hidden="false" customHeight="false" outlineLevel="0" collapsed="false">
      <c r="A143" s="72" t="s">
        <v>228</v>
      </c>
      <c r="B143" s="7"/>
      <c r="C143" s="6" t="s">
        <v>284</v>
      </c>
      <c r="D143" s="73" t="s">
        <v>285</v>
      </c>
      <c r="E143" s="74"/>
      <c r="F143" s="75" t="s">
        <v>613</v>
      </c>
      <c r="I143" s="44"/>
      <c r="J143" s="77"/>
      <c r="K143" s="43"/>
    </row>
    <row r="144" customFormat="false" ht="12.5" hidden="false" customHeight="false" outlineLevel="0" collapsed="false">
      <c r="A144" s="72" t="s">
        <v>228</v>
      </c>
      <c r="B144" s="7"/>
      <c r="C144" s="6" t="s">
        <v>396</v>
      </c>
      <c r="D144" s="73" t="s">
        <v>397</v>
      </c>
      <c r="E144" s="74"/>
      <c r="F144" s="75" t="s">
        <v>614</v>
      </c>
      <c r="I144" s="44"/>
      <c r="J144" s="79"/>
      <c r="K144" s="43"/>
    </row>
    <row r="145" customFormat="false" ht="12.5" hidden="false" customHeight="false" outlineLevel="0" collapsed="false">
      <c r="A145" s="40"/>
      <c r="B145" s="41"/>
      <c r="C145" s="40"/>
      <c r="D145" s="40"/>
      <c r="E145" s="43"/>
      <c r="F145" s="43"/>
      <c r="I145" s="44"/>
      <c r="J145" s="45"/>
      <c r="K145" s="43"/>
    </row>
    <row r="146" customFormat="false" ht="12.5" hidden="false" customHeight="false" outlineLevel="0" collapsed="false">
      <c r="A146" s="40" t="s">
        <v>0</v>
      </c>
      <c r="B146" s="41"/>
      <c r="C146" s="40"/>
      <c r="D146" s="40"/>
      <c r="E146" s="43"/>
      <c r="F146" s="43"/>
      <c r="I146" s="44"/>
      <c r="J146" s="45"/>
      <c r="K146" s="43"/>
    </row>
    <row r="147" customFormat="false" ht="12.5" hidden="false" customHeight="false" outlineLevel="0" collapsed="false">
      <c r="A147" s="40"/>
      <c r="B147" s="41" t="s">
        <v>615</v>
      </c>
      <c r="C147" s="40"/>
      <c r="D147" s="40"/>
      <c r="E147" s="43"/>
      <c r="F147" s="43"/>
      <c r="I147" s="44"/>
      <c r="J147" s="45"/>
      <c r="K147" s="43"/>
    </row>
    <row r="148" customFormat="false" ht="12.5" hidden="false" customHeight="false" outlineLevel="0" collapsed="false">
      <c r="A148" s="40"/>
      <c r="B148" s="41" t="s">
        <v>616</v>
      </c>
      <c r="C148" s="40"/>
      <c r="D148" s="40"/>
      <c r="E148" s="43"/>
      <c r="F148" s="43"/>
    </row>
    <row r="149" customFormat="false" ht="12.5" hidden="false" customHeight="false" outlineLevel="0" collapsed="false">
      <c r="A149" s="40"/>
      <c r="B149" s="41"/>
      <c r="C149" s="40"/>
      <c r="D149" s="40"/>
      <c r="E149" s="43"/>
      <c r="F149" s="43"/>
    </row>
    <row r="150" customFormat="false" ht="12.5" hidden="false" customHeight="false" outlineLevel="0" collapsed="false">
      <c r="A150" s="40"/>
      <c r="B150" s="41"/>
      <c r="C150" s="40"/>
      <c r="D150" s="40"/>
      <c r="E150" s="43"/>
      <c r="F150" s="43"/>
    </row>
    <row r="151" customFormat="false" ht="12.5" hidden="false" customHeight="false" outlineLevel="0" collapsed="false">
      <c r="A151" s="80" t="s">
        <v>617</v>
      </c>
      <c r="B151" s="0" t="n">
        <f aca="false">COUNTIF(A5:A145,"Y")</f>
        <v>30</v>
      </c>
      <c r="C151" s="40"/>
      <c r="D151" s="40"/>
      <c r="E151" s="43"/>
      <c r="F151" s="43"/>
    </row>
    <row r="152" customFormat="false" ht="12.5" hidden="false" customHeight="false" outlineLevel="0" collapsed="false">
      <c r="A152" s="80" t="s">
        <v>618</v>
      </c>
      <c r="B152" s="0" t="n">
        <f aca="false">COUNTIF(A5:A145,"~?")</f>
        <v>0</v>
      </c>
      <c r="C152" s="40"/>
      <c r="D152" s="40"/>
      <c r="E152" s="43"/>
      <c r="F152" s="43"/>
    </row>
    <row r="153" customFormat="false" ht="12.5" hidden="false" customHeight="false" outlineLevel="0" collapsed="false">
      <c r="A153" s="40"/>
      <c r="B153" s="41"/>
      <c r="C153" s="40"/>
      <c r="D153" s="40"/>
      <c r="E153" s="43"/>
      <c r="F153" s="43"/>
    </row>
    <row r="154" customFormat="false" ht="12.5" hidden="false" customHeight="false" outlineLevel="0" collapsed="false">
      <c r="A154" s="40"/>
      <c r="B154" s="41"/>
      <c r="C154" s="40"/>
      <c r="D154" s="40"/>
      <c r="E154" s="43"/>
      <c r="F154" s="43"/>
    </row>
    <row r="155" customFormat="false" ht="12.5" hidden="false" customHeight="false" outlineLevel="0" collapsed="false">
      <c r="A155" s="40"/>
      <c r="B155" s="41"/>
      <c r="C155" s="40"/>
      <c r="D155" s="40"/>
      <c r="E155" s="43"/>
      <c r="F155" s="43"/>
    </row>
    <row r="156" customFormat="false" ht="12.5" hidden="false" customHeight="false" outlineLevel="0" collapsed="false">
      <c r="A156" s="40"/>
      <c r="B156" s="41"/>
      <c r="C156" s="40"/>
      <c r="D156" s="40"/>
      <c r="E156" s="43"/>
      <c r="F156" s="43"/>
    </row>
    <row r="157" customFormat="false" ht="12.5" hidden="false" customHeight="false" outlineLevel="0" collapsed="false">
      <c r="A157" s="40"/>
      <c r="B157" s="41"/>
      <c r="C157" s="40"/>
      <c r="D157" s="40"/>
      <c r="E157" s="43"/>
      <c r="F157" s="43"/>
    </row>
    <row r="158" customFormat="false" ht="12.5" hidden="false" customHeight="false" outlineLevel="0" collapsed="false">
      <c r="A158" s="40"/>
      <c r="B158" s="41"/>
      <c r="C158" s="40"/>
      <c r="D158" s="40"/>
      <c r="E158" s="43"/>
      <c r="F158" s="43"/>
    </row>
    <row r="159" customFormat="false" ht="12.5" hidden="false" customHeight="false" outlineLevel="0" collapsed="false">
      <c r="A159" s="40"/>
      <c r="B159" s="41"/>
      <c r="C159" s="40"/>
      <c r="D159" s="40"/>
      <c r="E159" s="43"/>
      <c r="F159" s="43"/>
    </row>
    <row r="160" customFormat="false" ht="12.5" hidden="false" customHeight="false" outlineLevel="0" collapsed="false">
      <c r="A160" s="40"/>
      <c r="B160" s="41"/>
      <c r="C160" s="40"/>
      <c r="D160" s="40"/>
      <c r="E160" s="43"/>
      <c r="F160" s="43"/>
    </row>
    <row r="161" customFormat="false" ht="12.5" hidden="false" customHeight="false" outlineLevel="0" collapsed="false">
      <c r="A161" s="40"/>
      <c r="B161" s="41"/>
      <c r="C161" s="40"/>
      <c r="D161" s="40"/>
      <c r="E161" s="43"/>
      <c r="F161" s="43"/>
    </row>
    <row r="162" customFormat="false" ht="12.5" hidden="false" customHeight="false" outlineLevel="0" collapsed="false">
      <c r="A162" s="40"/>
      <c r="B162" s="41"/>
      <c r="C162" s="40"/>
      <c r="D162" s="40"/>
      <c r="E162" s="43"/>
      <c r="F162" s="43"/>
    </row>
    <row r="163" customFormat="false" ht="12.5" hidden="false" customHeight="false" outlineLevel="0" collapsed="false">
      <c r="A163" s="40"/>
      <c r="B163" s="41"/>
      <c r="C163" s="40"/>
      <c r="D163" s="40"/>
      <c r="E163" s="43"/>
      <c r="F163" s="43"/>
    </row>
    <row r="164" customFormat="false" ht="12.5" hidden="false" customHeight="false" outlineLevel="0" collapsed="false">
      <c r="A164" s="40"/>
      <c r="B164" s="41"/>
      <c r="C164" s="40"/>
      <c r="D164" s="40"/>
      <c r="E164" s="43"/>
      <c r="F164" s="43"/>
    </row>
  </sheetData>
  <printOptions headings="false" gridLines="false" gridLinesSet="true" horizontalCentered="false" verticalCentered="false"/>
  <pageMargins left="0.5" right="0.5" top="0.5" bottom="0.75" header="0.5" footer="0.5"/>
  <pageSetup paperSize="1" scale="100" firstPageNumber="0" fitToWidth="1" fitToHeight="5" pageOrder="downThenOver" orientation="landscape" usePrinterDefaults="false" blackAndWhite="false" draft="false" cellComments="none" useFirstPageNumber="false" horizontalDpi="300" verticalDpi="300" copies="1"/>
  <headerFooter differentFirst="false" differentOddEven="false">
    <oddHeader>&amp;CModule Commands</oddHeader>
    <oddFooter>&amp;LNetwork Terminal Commands.xls&amp;C&amp;P&amp;R&amp;D</oddFooter>
  </headerFooter>
</worksheet>
</file>

<file path=xl/worksheets/sheet4.xml><?xml version="1.0" encoding="utf-8"?>
<worksheet xmlns="http://schemas.openxmlformats.org/spreadsheetml/2006/main" xmlns:r="http://schemas.openxmlformats.org/officeDocument/2006/relationships">
  <sheetPr filterMode="false">
    <pageSetUpPr fitToPage="true"/>
  </sheetPr>
  <dimension ref="A1:C2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RowHeight="12.5"/>
  <cols>
    <col collapsed="false" hidden="false" max="1" min="1" style="0" width="8.4234693877551"/>
    <col collapsed="false" hidden="false" max="2" min="2" style="0" width="20.4132653061224"/>
    <col collapsed="false" hidden="false" max="3" min="3" style="0" width="33.9081632653061"/>
    <col collapsed="false" hidden="false" max="1025" min="4" style="0" width="8.4234693877551"/>
  </cols>
  <sheetData>
    <row r="1" customFormat="false" ht="15.5" hidden="false" customHeight="false" outlineLevel="0" collapsed="false">
      <c r="A1" s="4" t="s">
        <v>619</v>
      </c>
    </row>
    <row r="2" customFormat="false" ht="12.5" hidden="false" customHeight="false" outlineLevel="0" collapsed="false">
      <c r="A2" s="0" t="s">
        <v>620</v>
      </c>
    </row>
    <row r="3" customFormat="false" ht="12.5" hidden="false" customHeight="false" outlineLevel="0" collapsed="false">
      <c r="A3" s="81" t="s">
        <v>621</v>
      </c>
    </row>
    <row r="4" customFormat="false" ht="12.5" hidden="false" customHeight="false" outlineLevel="0" collapsed="false">
      <c r="A4" s="81"/>
      <c r="B4" s="0" t="s">
        <v>622</v>
      </c>
    </row>
    <row r="5" customFormat="false" ht="12.5" hidden="false" customHeight="false" outlineLevel="0" collapsed="false">
      <c r="A5" s="81"/>
    </row>
    <row r="6" customFormat="false" ht="15.5" hidden="false" customHeight="false" outlineLevel="0" collapsed="false">
      <c r="B6" s="4" t="s">
        <v>623</v>
      </c>
      <c r="C6" s="4" t="s">
        <v>624</v>
      </c>
    </row>
    <row r="7" customFormat="false" ht="12.5" hidden="false" customHeight="false" outlineLevel="0" collapsed="false">
      <c r="B7" s="0" t="s">
        <v>625</v>
      </c>
      <c r="C7" s="0" t="s">
        <v>626</v>
      </c>
    </row>
    <row r="8" customFormat="false" ht="12.5" hidden="false" customHeight="false" outlineLevel="0" collapsed="false">
      <c r="B8" s="0" t="s">
        <v>627</v>
      </c>
      <c r="C8" s="0" t="s">
        <v>628</v>
      </c>
    </row>
    <row r="9" customFormat="false" ht="12.5" hidden="false" customHeight="false" outlineLevel="0" collapsed="false">
      <c r="B9" s="0" t="s">
        <v>629</v>
      </c>
      <c r="C9" s="0" t="s">
        <v>630</v>
      </c>
    </row>
    <row r="10" customFormat="false" ht="50" hidden="false" customHeight="false" outlineLevel="0" collapsed="false">
      <c r="B10" s="0" t="s">
        <v>631</v>
      </c>
      <c r="C10" s="1" t="s">
        <v>632</v>
      </c>
    </row>
    <row r="11" customFormat="false" ht="12.5" hidden="false" customHeight="false" outlineLevel="0" collapsed="false">
      <c r="B11" s="0" t="s">
        <v>633</v>
      </c>
      <c r="C11" s="0" t="s">
        <v>634</v>
      </c>
    </row>
    <row r="12" customFormat="false" ht="12.5" hidden="false" customHeight="false" outlineLevel="0" collapsed="false">
      <c r="B12" s="0" t="s">
        <v>299</v>
      </c>
      <c r="C12" s="0" t="s">
        <v>635</v>
      </c>
    </row>
    <row r="13" customFormat="false" ht="12.5" hidden="false" customHeight="false" outlineLevel="0" collapsed="false">
      <c r="B13" s="0" t="s">
        <v>636</v>
      </c>
      <c r="C13" s="0" t="s">
        <v>637</v>
      </c>
    </row>
    <row r="14" customFormat="false" ht="12.5" hidden="false" customHeight="false" outlineLevel="0" collapsed="false">
      <c r="B14" s="0" t="s">
        <v>328</v>
      </c>
      <c r="C14" s="0" t="s">
        <v>638</v>
      </c>
    </row>
    <row r="15" customFormat="false" ht="12.5" hidden="false" customHeight="false" outlineLevel="0" collapsed="false">
      <c r="B15" s="0" t="s">
        <v>639</v>
      </c>
      <c r="C15" s="0" t="s">
        <v>640</v>
      </c>
    </row>
    <row r="16" customFormat="false" ht="12.5" hidden="false" customHeight="false" outlineLevel="0" collapsed="false">
      <c r="B16" s="0" t="s">
        <v>372</v>
      </c>
      <c r="C16" s="0" t="s">
        <v>641</v>
      </c>
    </row>
    <row r="17" customFormat="false" ht="12.5" hidden="false" customHeight="false" outlineLevel="0" collapsed="false">
      <c r="B17" s="0" t="s">
        <v>379</v>
      </c>
      <c r="C17" s="0" t="s">
        <v>642</v>
      </c>
    </row>
    <row r="18" customFormat="false" ht="12.5" hidden="false" customHeight="false" outlineLevel="0" collapsed="false">
      <c r="B18" s="0" t="s">
        <v>643</v>
      </c>
      <c r="C18" s="0" t="s">
        <v>644</v>
      </c>
    </row>
    <row r="19" customFormat="false" ht="12.5" hidden="false" customHeight="false" outlineLevel="0" collapsed="false">
      <c r="B19" s="0" t="s">
        <v>396</v>
      </c>
      <c r="C19" s="0" t="s">
        <v>645</v>
      </c>
    </row>
    <row r="20" customFormat="false" ht="12.5" hidden="false" customHeight="false" outlineLevel="0" collapsed="false">
      <c r="B20" s="0" t="s">
        <v>646</v>
      </c>
      <c r="C20" s="0" t="s">
        <v>647</v>
      </c>
    </row>
    <row r="21" customFormat="false" ht="37.5" hidden="false" customHeight="false" outlineLevel="0" collapsed="false">
      <c r="B21" s="0" t="s">
        <v>648</v>
      </c>
      <c r="C21" s="1" t="s">
        <v>649</v>
      </c>
    </row>
    <row r="22" customFormat="false" ht="12.5" hidden="false" customHeight="false" outlineLevel="0" collapsed="false">
      <c r="B22" s="0" t="s">
        <v>650</v>
      </c>
      <c r="C22" s="0" t="s">
        <v>651</v>
      </c>
    </row>
    <row r="23" customFormat="false" ht="37.5" hidden="false" customHeight="false" outlineLevel="0" collapsed="false">
      <c r="B23" s="0" t="s">
        <v>652</v>
      </c>
      <c r="C23" s="1" t="s">
        <v>653</v>
      </c>
    </row>
    <row r="24" customFormat="false" ht="37.5" hidden="false" customHeight="false" outlineLevel="0" collapsed="false">
      <c r="B24" s="0" t="s">
        <v>654</v>
      </c>
      <c r="C24" s="1" t="s">
        <v>655</v>
      </c>
    </row>
    <row r="25" customFormat="false" ht="37.5" hidden="false" customHeight="false" outlineLevel="0" collapsed="false">
      <c r="B25" s="0" t="s">
        <v>656</v>
      </c>
      <c r="C25" s="1" t="s">
        <v>657</v>
      </c>
    </row>
    <row r="26" customFormat="false" ht="25" hidden="false" customHeight="false" outlineLevel="0" collapsed="false">
      <c r="B26" s="1" t="s">
        <v>658</v>
      </c>
      <c r="C26" s="1" t="s">
        <v>628</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true"/>
  </sheetPr>
  <dimension ref="A1:K146"/>
  <sheetViews>
    <sheetView windowProtection="true"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59" activePane="bottomLeft" state="frozen"/>
      <selection pane="topLeft" activeCell="A1" activeCellId="0" sqref="A1"/>
      <selection pane="bottomLeft" activeCell="A108" activeCellId="0" sqref="A108"/>
    </sheetView>
  </sheetViews>
  <sheetFormatPr defaultRowHeight="12.5"/>
  <cols>
    <col collapsed="false" hidden="false" max="1" min="1" style="80" width="18.0357142857143"/>
    <col collapsed="false" hidden="false" max="2" min="2" style="0" width="8.4234693877551"/>
    <col collapsed="false" hidden="false" max="3" min="3" style="82" width="8.20918367346939"/>
    <col collapsed="false" hidden="false" max="4" min="4" style="83" width="8.20918367346939"/>
    <col collapsed="false" hidden="false" max="5" min="5" style="84" width="10.1530612244898"/>
    <col collapsed="false" hidden="false" max="6" min="6" style="1" width="39.2040816326531"/>
    <col collapsed="false" hidden="false" max="7" min="7" style="49" width="18.0357142857143"/>
    <col collapsed="false" hidden="false" max="8" min="8" style="49" width="16.5255102040816"/>
    <col collapsed="false" hidden="false" max="9" min="9" style="0" width="8.4234693877551"/>
    <col collapsed="false" hidden="false" max="10" min="10" style="0" width="55.0765306122449"/>
    <col collapsed="false" hidden="false" max="11" min="11" style="0" width="34.234693877551"/>
    <col collapsed="false" hidden="false" max="1025" min="12" style="0" width="8.4234693877551"/>
  </cols>
  <sheetData>
    <row r="1" customFormat="false" ht="15.5" hidden="false" customHeight="false" outlineLevel="0" collapsed="false">
      <c r="A1" s="85" t="s">
        <v>659</v>
      </c>
      <c r="C1" s="0"/>
      <c r="D1" s="0"/>
      <c r="E1" s="0"/>
      <c r="F1" s="1" t="s">
        <v>660</v>
      </c>
      <c r="G1" s="0"/>
      <c r="H1" s="0"/>
    </row>
    <row r="2" customFormat="false" ht="57.75" hidden="false" customHeight="true" outlineLevel="0" collapsed="false">
      <c r="A2" s="30" t="s">
        <v>60</v>
      </c>
      <c r="B2" s="86" t="s">
        <v>61</v>
      </c>
      <c r="C2" s="87" t="s">
        <v>62</v>
      </c>
      <c r="D2" s="88" t="s">
        <v>20</v>
      </c>
      <c r="E2" s="89" t="s">
        <v>63</v>
      </c>
      <c r="F2" s="90" t="s">
        <v>624</v>
      </c>
      <c r="G2" s="91" t="s">
        <v>661</v>
      </c>
      <c r="H2" s="91" t="s">
        <v>66</v>
      </c>
      <c r="J2" s="38" t="s">
        <v>662</v>
      </c>
      <c r="K2" s="39" t="s">
        <v>663</v>
      </c>
    </row>
    <row r="3" customFormat="false" ht="13" hidden="false" customHeight="true" outlineLevel="0" collapsed="false">
      <c r="A3" s="92"/>
      <c r="B3" s="93" t="s">
        <v>69</v>
      </c>
      <c r="C3" s="94" t="s">
        <v>70</v>
      </c>
      <c r="D3" s="95" t="s">
        <v>71</v>
      </c>
      <c r="E3" s="96"/>
      <c r="F3" s="97" t="s">
        <v>664</v>
      </c>
      <c r="G3" s="98"/>
      <c r="H3" s="98"/>
      <c r="I3" s="7"/>
      <c r="J3" s="7"/>
      <c r="K3" s="7"/>
    </row>
    <row r="4" customFormat="false" ht="12.5" hidden="false" customHeight="false" outlineLevel="0" collapsed="false">
      <c r="A4" s="72"/>
      <c r="B4" s="41" t="s">
        <v>72</v>
      </c>
      <c r="C4" s="6" t="s">
        <v>73</v>
      </c>
      <c r="D4" s="73" t="s">
        <v>74</v>
      </c>
      <c r="E4" s="74"/>
      <c r="F4" s="97"/>
      <c r="G4" s="98"/>
      <c r="H4" s="98"/>
      <c r="I4" s="7"/>
      <c r="J4" s="7"/>
      <c r="K4" s="7"/>
    </row>
    <row r="5" customFormat="false" ht="12.5" hidden="false" customHeight="false" outlineLevel="0" collapsed="false">
      <c r="A5" s="72"/>
      <c r="B5" s="41" t="s">
        <v>75</v>
      </c>
      <c r="C5" s="6" t="s">
        <v>76</v>
      </c>
      <c r="D5" s="73" t="s">
        <v>77</v>
      </c>
      <c r="E5" s="74"/>
      <c r="F5" s="97"/>
      <c r="G5" s="98"/>
      <c r="H5" s="98"/>
      <c r="I5" s="7"/>
      <c r="J5" s="7"/>
      <c r="K5" s="7"/>
    </row>
    <row r="6" customFormat="false" ht="12.5" hidden="false" customHeight="false" outlineLevel="0" collapsed="false">
      <c r="A6" s="72"/>
      <c r="B6" s="41" t="s">
        <v>78</v>
      </c>
      <c r="C6" s="6" t="s">
        <v>79</v>
      </c>
      <c r="D6" s="73" t="s">
        <v>80</v>
      </c>
      <c r="E6" s="74"/>
      <c r="F6" s="97"/>
      <c r="G6" s="98"/>
      <c r="H6" s="98"/>
      <c r="I6" s="7"/>
      <c r="J6" s="7"/>
      <c r="K6" s="7"/>
    </row>
    <row r="7" customFormat="false" ht="12.5" hidden="false" customHeight="false" outlineLevel="0" collapsed="false">
      <c r="A7" s="72"/>
      <c r="B7" s="41" t="s">
        <v>81</v>
      </c>
      <c r="C7" s="6" t="s">
        <v>82</v>
      </c>
      <c r="D7" s="73" t="s">
        <v>83</v>
      </c>
      <c r="E7" s="74"/>
      <c r="F7" s="97"/>
      <c r="G7" s="98"/>
      <c r="H7" s="98"/>
      <c r="I7" s="7"/>
      <c r="J7" s="7"/>
      <c r="K7" s="7"/>
    </row>
    <row r="8" customFormat="false" ht="12.5" hidden="false" customHeight="false" outlineLevel="0" collapsed="false">
      <c r="A8" s="72"/>
      <c r="B8" s="41" t="s">
        <v>84</v>
      </c>
      <c r="C8" s="6" t="s">
        <v>85</v>
      </c>
      <c r="D8" s="73" t="s">
        <v>86</v>
      </c>
      <c r="E8" s="74"/>
      <c r="F8" s="97"/>
      <c r="G8" s="98"/>
      <c r="H8" s="98"/>
      <c r="I8" s="7"/>
      <c r="J8" s="7"/>
      <c r="K8" s="7"/>
    </row>
    <row r="9" customFormat="false" ht="12.5" hidden="false" customHeight="false" outlineLevel="0" collapsed="false">
      <c r="A9" s="72"/>
      <c r="B9" s="41" t="s">
        <v>87</v>
      </c>
      <c r="C9" s="6" t="s">
        <v>88</v>
      </c>
      <c r="D9" s="73" t="s">
        <v>89</v>
      </c>
      <c r="E9" s="74"/>
      <c r="F9" s="97"/>
      <c r="G9" s="98"/>
      <c r="H9" s="98"/>
      <c r="I9" s="7"/>
      <c r="J9" s="7"/>
      <c r="K9" s="7"/>
    </row>
    <row r="10" customFormat="false" ht="12.5" hidden="false" customHeight="false" outlineLevel="0" collapsed="false">
      <c r="A10" s="72"/>
      <c r="B10" s="41" t="s">
        <v>90</v>
      </c>
      <c r="C10" s="6" t="s">
        <v>91</v>
      </c>
      <c r="D10" s="73" t="s">
        <v>92</v>
      </c>
      <c r="E10" s="74"/>
      <c r="F10" s="97"/>
      <c r="G10" s="98"/>
      <c r="H10" s="98"/>
      <c r="I10" s="7"/>
      <c r="J10" s="7"/>
      <c r="K10" s="7"/>
    </row>
    <row r="11" customFormat="false" ht="12.5" hidden="false" customHeight="false" outlineLevel="0" collapsed="false">
      <c r="A11" s="72"/>
      <c r="B11" s="41" t="s">
        <v>93</v>
      </c>
      <c r="C11" s="6" t="s">
        <v>94</v>
      </c>
      <c r="D11" s="73" t="s">
        <v>95</v>
      </c>
      <c r="E11" s="74"/>
      <c r="F11" s="97"/>
      <c r="G11" s="98"/>
      <c r="H11" s="98"/>
      <c r="I11" s="7"/>
      <c r="J11" s="7"/>
      <c r="K11" s="7"/>
    </row>
    <row r="12" customFormat="false" ht="12.5" hidden="false" customHeight="false" outlineLevel="0" collapsed="false">
      <c r="A12" s="72"/>
      <c r="B12" s="41" t="s">
        <v>96</v>
      </c>
      <c r="C12" s="6" t="s">
        <v>97</v>
      </c>
      <c r="D12" s="73" t="s">
        <v>98</v>
      </c>
      <c r="E12" s="74"/>
      <c r="F12" s="97"/>
      <c r="G12" s="98"/>
      <c r="H12" s="98"/>
      <c r="I12" s="7"/>
      <c r="J12" s="7"/>
      <c r="K12" s="7"/>
    </row>
    <row r="13" customFormat="false" ht="12.5" hidden="false" customHeight="false" outlineLevel="0" collapsed="false">
      <c r="A13" s="72"/>
      <c r="B13" s="41" t="s">
        <v>99</v>
      </c>
      <c r="C13" s="6" t="s">
        <v>100</v>
      </c>
      <c r="D13" s="73" t="s">
        <v>101</v>
      </c>
      <c r="E13" s="74"/>
      <c r="F13" s="97"/>
      <c r="G13" s="98"/>
      <c r="H13" s="98"/>
      <c r="I13" s="7"/>
      <c r="J13" s="7"/>
      <c r="K13" s="7"/>
    </row>
    <row r="14" customFormat="false" ht="12.5" hidden="false" customHeight="false" outlineLevel="0" collapsed="false">
      <c r="A14" s="72"/>
      <c r="B14" s="41" t="s">
        <v>102</v>
      </c>
      <c r="C14" s="6" t="s">
        <v>103</v>
      </c>
      <c r="D14" s="73" t="s">
        <v>104</v>
      </c>
      <c r="E14" s="74"/>
      <c r="F14" s="97"/>
      <c r="G14" s="98"/>
      <c r="H14" s="98"/>
      <c r="I14" s="7"/>
      <c r="J14" s="7"/>
      <c r="K14" s="7"/>
    </row>
    <row r="15" customFormat="false" ht="12.5" hidden="false" customHeight="false" outlineLevel="0" collapsed="false">
      <c r="A15" s="72"/>
      <c r="B15" s="41" t="s">
        <v>105</v>
      </c>
      <c r="C15" s="6" t="s">
        <v>106</v>
      </c>
      <c r="D15" s="73" t="s">
        <v>107</v>
      </c>
      <c r="E15" s="74"/>
      <c r="F15" s="97"/>
      <c r="G15" s="98"/>
      <c r="H15" s="98"/>
      <c r="I15" s="7"/>
      <c r="J15" s="7"/>
      <c r="K15" s="7"/>
    </row>
    <row r="16" customFormat="false" ht="12.5" hidden="false" customHeight="false" outlineLevel="0" collapsed="false">
      <c r="A16" s="72"/>
      <c r="B16" s="41" t="s">
        <v>108</v>
      </c>
      <c r="C16" s="6" t="s">
        <v>109</v>
      </c>
      <c r="D16" s="73" t="s">
        <v>110</v>
      </c>
      <c r="E16" s="74"/>
      <c r="F16" s="97"/>
      <c r="G16" s="98"/>
      <c r="H16" s="98"/>
      <c r="I16" s="7"/>
      <c r="J16" s="7"/>
      <c r="K16" s="7"/>
    </row>
    <row r="17" customFormat="false" ht="12.5" hidden="false" customHeight="false" outlineLevel="0" collapsed="false">
      <c r="A17" s="72"/>
      <c r="B17" s="41" t="s">
        <v>111</v>
      </c>
      <c r="C17" s="6" t="s">
        <v>112</v>
      </c>
      <c r="D17" s="73" t="s">
        <v>113</v>
      </c>
      <c r="E17" s="74"/>
      <c r="F17" s="97"/>
      <c r="G17" s="98"/>
      <c r="H17" s="98"/>
      <c r="I17" s="7"/>
      <c r="J17" s="7"/>
      <c r="K17" s="7"/>
    </row>
    <row r="18" customFormat="false" ht="12.5" hidden="false" customHeight="false" outlineLevel="0" collapsed="false">
      <c r="A18" s="72"/>
      <c r="B18" s="41" t="s">
        <v>114</v>
      </c>
      <c r="C18" s="6" t="s">
        <v>115</v>
      </c>
      <c r="D18" s="73" t="s">
        <v>116</v>
      </c>
      <c r="E18" s="74"/>
      <c r="F18" s="97"/>
      <c r="G18" s="98"/>
      <c r="H18" s="98"/>
      <c r="I18" s="7"/>
      <c r="J18" s="7"/>
      <c r="K18" s="7"/>
    </row>
    <row r="19" customFormat="false" ht="12.5" hidden="false" customHeight="false" outlineLevel="0" collapsed="false">
      <c r="A19" s="72"/>
      <c r="B19" s="41" t="s">
        <v>117</v>
      </c>
      <c r="C19" s="6" t="s">
        <v>118</v>
      </c>
      <c r="D19" s="73" t="n">
        <v>10</v>
      </c>
      <c r="E19" s="74"/>
      <c r="F19" s="97"/>
      <c r="G19" s="99"/>
      <c r="H19" s="98"/>
      <c r="I19" s="7"/>
      <c r="J19" s="7"/>
      <c r="K19" s="7"/>
    </row>
    <row r="20" customFormat="false" ht="12.5" hidden="false" customHeight="false" outlineLevel="0" collapsed="false">
      <c r="A20" s="72"/>
      <c r="B20" s="41" t="s">
        <v>119</v>
      </c>
      <c r="C20" s="6" t="s">
        <v>120</v>
      </c>
      <c r="D20" s="73" t="n">
        <v>11</v>
      </c>
      <c r="E20" s="74"/>
      <c r="F20" s="97"/>
      <c r="G20" s="99"/>
      <c r="H20" s="98"/>
      <c r="I20" s="7"/>
      <c r="J20" s="7"/>
      <c r="K20" s="7"/>
    </row>
    <row r="21" customFormat="false" ht="12.5" hidden="false" customHeight="false" outlineLevel="0" collapsed="false">
      <c r="A21" s="72"/>
      <c r="B21" s="41" t="s">
        <v>121</v>
      </c>
      <c r="C21" s="6" t="s">
        <v>122</v>
      </c>
      <c r="D21" s="73" t="n">
        <v>12</v>
      </c>
      <c r="E21" s="74"/>
      <c r="F21" s="97"/>
      <c r="G21" s="98"/>
      <c r="H21" s="98"/>
      <c r="I21" s="7"/>
      <c r="J21" s="7"/>
      <c r="K21" s="7"/>
    </row>
    <row r="22" customFormat="false" ht="12.5" hidden="false" customHeight="false" outlineLevel="0" collapsed="false">
      <c r="A22" s="72"/>
      <c r="B22" s="41" t="s">
        <v>123</v>
      </c>
      <c r="C22" s="6" t="s">
        <v>124</v>
      </c>
      <c r="D22" s="73" t="n">
        <v>13</v>
      </c>
      <c r="E22" s="74"/>
      <c r="F22" s="97"/>
      <c r="G22" s="98"/>
      <c r="H22" s="98"/>
      <c r="I22" s="7"/>
      <c r="J22" s="7"/>
      <c r="K22" s="7"/>
    </row>
    <row r="23" customFormat="false" ht="12.5" hidden="false" customHeight="false" outlineLevel="0" collapsed="false">
      <c r="A23" s="72"/>
      <c r="B23" s="41" t="s">
        <v>125</v>
      </c>
      <c r="C23" s="6" t="s">
        <v>126</v>
      </c>
      <c r="D23" s="73" t="n">
        <v>14</v>
      </c>
      <c r="E23" s="74"/>
      <c r="F23" s="97"/>
      <c r="G23" s="98"/>
      <c r="H23" s="98"/>
      <c r="I23" s="7"/>
      <c r="J23" s="7"/>
      <c r="K23" s="7"/>
    </row>
    <row r="24" customFormat="false" ht="12.5" hidden="false" customHeight="false" outlineLevel="0" collapsed="false">
      <c r="A24" s="72"/>
      <c r="B24" s="41" t="s">
        <v>127</v>
      </c>
      <c r="C24" s="6" t="s">
        <v>128</v>
      </c>
      <c r="D24" s="73" t="n">
        <v>15</v>
      </c>
      <c r="E24" s="74"/>
      <c r="F24" s="97"/>
      <c r="G24" s="98"/>
      <c r="H24" s="98"/>
      <c r="I24" s="7"/>
      <c r="J24" s="7"/>
      <c r="K24" s="7"/>
    </row>
    <row r="25" customFormat="false" ht="12.5" hidden="false" customHeight="false" outlineLevel="0" collapsed="false">
      <c r="A25" s="72"/>
      <c r="B25" s="41" t="s">
        <v>129</v>
      </c>
      <c r="C25" s="6" t="s">
        <v>130</v>
      </c>
      <c r="D25" s="73" t="n">
        <v>16</v>
      </c>
      <c r="E25" s="74"/>
      <c r="F25" s="97"/>
      <c r="G25" s="98"/>
      <c r="H25" s="98"/>
      <c r="I25" s="7"/>
      <c r="J25" s="7"/>
      <c r="K25" s="7"/>
    </row>
    <row r="26" customFormat="false" ht="12.5" hidden="false" customHeight="false" outlineLevel="0" collapsed="false">
      <c r="A26" s="72"/>
      <c r="B26" s="41" t="s">
        <v>131</v>
      </c>
      <c r="C26" s="6" t="s">
        <v>132</v>
      </c>
      <c r="D26" s="73" t="n">
        <v>17</v>
      </c>
      <c r="E26" s="74"/>
      <c r="F26" s="97"/>
      <c r="G26" s="98"/>
      <c r="H26" s="98"/>
      <c r="I26" s="7"/>
      <c r="J26" s="7"/>
      <c r="K26" s="7"/>
    </row>
    <row r="27" customFormat="false" ht="12.5" hidden="false" customHeight="false" outlineLevel="0" collapsed="false">
      <c r="A27" s="72"/>
      <c r="B27" s="41" t="s">
        <v>133</v>
      </c>
      <c r="C27" s="6" t="s">
        <v>134</v>
      </c>
      <c r="D27" s="73" t="n">
        <v>18</v>
      </c>
      <c r="E27" s="74"/>
      <c r="F27" s="97"/>
      <c r="G27" s="98"/>
      <c r="H27" s="98"/>
      <c r="I27" s="7"/>
      <c r="J27" s="7"/>
      <c r="K27" s="7"/>
    </row>
    <row r="28" customFormat="false" ht="12.5" hidden="false" customHeight="false" outlineLevel="0" collapsed="false">
      <c r="A28" s="72"/>
      <c r="B28" s="41" t="s">
        <v>135</v>
      </c>
      <c r="C28" s="6" t="s">
        <v>136</v>
      </c>
      <c r="D28" s="73" t="n">
        <v>19</v>
      </c>
      <c r="E28" s="74"/>
      <c r="F28" s="97"/>
      <c r="G28" s="98"/>
      <c r="H28" s="98"/>
      <c r="I28" s="7"/>
      <c r="J28" s="7"/>
      <c r="K28" s="7"/>
    </row>
    <row r="29" customFormat="false" ht="12.5" hidden="false" customHeight="false" outlineLevel="0" collapsed="false">
      <c r="A29" s="72"/>
      <c r="B29" s="41" t="s">
        <v>137</v>
      </c>
      <c r="C29" s="6" t="s">
        <v>138</v>
      </c>
      <c r="D29" s="73" t="s">
        <v>139</v>
      </c>
      <c r="E29" s="74"/>
      <c r="F29" s="97"/>
      <c r="G29" s="98"/>
      <c r="H29" s="98"/>
      <c r="I29" s="7"/>
      <c r="J29" s="7"/>
      <c r="K29" s="7"/>
    </row>
    <row r="30" customFormat="false" ht="12.5" hidden="false" customHeight="false" outlineLevel="0" collapsed="false">
      <c r="A30" s="72"/>
      <c r="B30" s="41" t="s">
        <v>140</v>
      </c>
      <c r="C30" s="6" t="s">
        <v>141</v>
      </c>
      <c r="D30" s="73" t="s">
        <v>142</v>
      </c>
      <c r="E30" s="74"/>
      <c r="F30" s="97"/>
      <c r="G30" s="98"/>
      <c r="H30" s="98"/>
      <c r="I30" s="7"/>
      <c r="J30" s="7"/>
      <c r="K30" s="7"/>
    </row>
    <row r="31" customFormat="false" ht="12.5" hidden="false" customHeight="false" outlineLevel="0" collapsed="false">
      <c r="A31" s="72"/>
      <c r="B31" s="41" t="s">
        <v>143</v>
      </c>
      <c r="C31" s="6" t="s">
        <v>144</v>
      </c>
      <c r="D31" s="73" t="s">
        <v>145</v>
      </c>
      <c r="E31" s="74"/>
      <c r="F31" s="97"/>
      <c r="G31" s="98"/>
      <c r="H31" s="98"/>
      <c r="I31" s="7"/>
      <c r="J31" s="7"/>
      <c r="K31" s="7"/>
    </row>
    <row r="32" customFormat="false" ht="12.5" hidden="false" customHeight="false" outlineLevel="0" collapsed="false">
      <c r="A32" s="72"/>
      <c r="B32" s="41" t="s">
        <v>146</v>
      </c>
      <c r="C32" s="6" t="s">
        <v>147</v>
      </c>
      <c r="D32" s="73" t="s">
        <v>148</v>
      </c>
      <c r="E32" s="74"/>
      <c r="F32" s="97"/>
      <c r="G32" s="98"/>
      <c r="H32" s="98"/>
      <c r="I32" s="7"/>
      <c r="J32" s="7"/>
      <c r="K32" s="7"/>
    </row>
    <row r="33" customFormat="false" ht="12.5" hidden="false" customHeight="false" outlineLevel="0" collapsed="false">
      <c r="A33" s="72"/>
      <c r="B33" s="41" t="s">
        <v>149</v>
      </c>
      <c r="C33" s="6" t="s">
        <v>150</v>
      </c>
      <c r="D33" s="73" t="s">
        <v>151</v>
      </c>
      <c r="E33" s="74"/>
      <c r="F33" s="97"/>
      <c r="G33" s="98"/>
      <c r="H33" s="98"/>
      <c r="I33" s="7"/>
      <c r="J33" s="7"/>
      <c r="K33" s="7"/>
    </row>
    <row r="34" customFormat="false" ht="12.5" hidden="false" customHeight="false" outlineLevel="0" collapsed="false">
      <c r="A34" s="72"/>
      <c r="B34" s="41" t="s">
        <v>152</v>
      </c>
      <c r="C34" s="6" t="s">
        <v>153</v>
      </c>
      <c r="D34" s="73" t="s">
        <v>154</v>
      </c>
      <c r="E34" s="74"/>
      <c r="F34" s="97"/>
      <c r="G34" s="98"/>
      <c r="H34" s="98"/>
      <c r="I34" s="7"/>
      <c r="J34" s="7"/>
      <c r="K34" s="7"/>
    </row>
    <row r="35" customFormat="false" ht="12.5" hidden="false" customHeight="false" outlineLevel="0" collapsed="false">
      <c r="A35" s="72"/>
      <c r="B35" s="41" t="s">
        <v>155</v>
      </c>
      <c r="C35" s="6" t="s">
        <v>156</v>
      </c>
      <c r="D35" s="73" t="n">
        <v>20</v>
      </c>
      <c r="E35" s="74"/>
      <c r="F35" s="97"/>
      <c r="G35" s="98"/>
      <c r="H35" s="98"/>
      <c r="I35" s="7"/>
      <c r="J35" s="7"/>
      <c r="K35" s="7"/>
    </row>
    <row r="36" customFormat="false" ht="12.5" hidden="false" customHeight="false" outlineLevel="0" collapsed="false">
      <c r="A36" s="72"/>
      <c r="B36" s="41" t="s">
        <v>157</v>
      </c>
      <c r="C36" s="6" t="s">
        <v>158</v>
      </c>
      <c r="D36" s="73" t="n">
        <v>21</v>
      </c>
      <c r="E36" s="74"/>
      <c r="F36" s="75"/>
      <c r="G36" s="98"/>
      <c r="H36" s="98"/>
      <c r="I36" s="7"/>
      <c r="J36" s="7"/>
      <c r="K36" s="7"/>
    </row>
    <row r="37" customFormat="false" ht="12.5" hidden="false" customHeight="false" outlineLevel="0" collapsed="false">
      <c r="A37" s="72"/>
      <c r="B37" s="41" t="s">
        <v>159</v>
      </c>
      <c r="C37" s="6" t="s">
        <v>160</v>
      </c>
      <c r="D37" s="73" t="n">
        <v>22</v>
      </c>
      <c r="E37" s="74"/>
      <c r="F37" s="75"/>
      <c r="G37" s="98"/>
      <c r="H37" s="98"/>
      <c r="I37" s="7"/>
      <c r="J37" s="7"/>
      <c r="K37" s="7"/>
    </row>
    <row r="38" customFormat="false" ht="12.5" hidden="false" customHeight="false" outlineLevel="0" collapsed="false">
      <c r="A38" s="72"/>
      <c r="B38" s="41" t="s">
        <v>161</v>
      </c>
      <c r="C38" s="6" t="s">
        <v>162</v>
      </c>
      <c r="D38" s="73" t="n">
        <v>23</v>
      </c>
      <c r="E38" s="74"/>
      <c r="F38" s="75"/>
      <c r="G38" s="98"/>
      <c r="H38" s="98"/>
      <c r="I38" s="7"/>
      <c r="J38" s="7"/>
      <c r="K38" s="7"/>
    </row>
    <row r="39" customFormat="false" ht="12.5" hidden="false" customHeight="false" outlineLevel="0" collapsed="false">
      <c r="A39" s="72"/>
      <c r="B39" s="41" t="s">
        <v>163</v>
      </c>
      <c r="C39" s="6" t="s">
        <v>164</v>
      </c>
      <c r="D39" s="73" t="n">
        <v>24</v>
      </c>
      <c r="E39" s="74"/>
      <c r="F39" s="75"/>
      <c r="G39" s="98"/>
      <c r="H39" s="98"/>
      <c r="I39" s="7"/>
      <c r="J39" s="7"/>
      <c r="K39" s="7"/>
    </row>
    <row r="40" customFormat="false" ht="12.5" hidden="false" customHeight="false" outlineLevel="0" collapsed="false">
      <c r="A40" s="72"/>
      <c r="B40" s="41" t="s">
        <v>165</v>
      </c>
      <c r="C40" s="6" t="s">
        <v>166</v>
      </c>
      <c r="D40" s="73" t="n">
        <v>25</v>
      </c>
      <c r="E40" s="74"/>
      <c r="F40" s="75"/>
      <c r="G40" s="98"/>
      <c r="H40" s="98"/>
      <c r="I40" s="7"/>
      <c r="J40" s="7"/>
      <c r="K40" s="7"/>
    </row>
    <row r="41" customFormat="false" ht="12.5" hidden="false" customHeight="false" outlineLevel="0" collapsed="false">
      <c r="A41" s="72"/>
      <c r="B41" s="41" t="s">
        <v>167</v>
      </c>
      <c r="C41" s="6" t="s">
        <v>168</v>
      </c>
      <c r="D41" s="73" t="n">
        <v>26</v>
      </c>
      <c r="E41" s="74"/>
      <c r="F41" s="75"/>
      <c r="G41" s="98"/>
      <c r="H41" s="98"/>
      <c r="I41" s="7"/>
      <c r="J41" s="7"/>
      <c r="K41" s="7"/>
    </row>
    <row r="42" customFormat="false" ht="12.5" hidden="false" customHeight="false" outlineLevel="0" collapsed="false">
      <c r="A42" s="72"/>
      <c r="B42" s="41" t="s">
        <v>169</v>
      </c>
      <c r="C42" s="6" t="s">
        <v>170</v>
      </c>
      <c r="D42" s="73" t="n">
        <v>27</v>
      </c>
      <c r="E42" s="74"/>
      <c r="F42" s="75"/>
      <c r="G42" s="98"/>
      <c r="H42" s="98"/>
      <c r="I42" s="7"/>
      <c r="J42" s="7"/>
      <c r="K42" s="7"/>
    </row>
    <row r="43" customFormat="false" ht="12.5" hidden="false" customHeight="false" outlineLevel="0" collapsed="false">
      <c r="A43" s="72"/>
      <c r="B43" s="41" t="s">
        <v>171</v>
      </c>
      <c r="C43" s="6" t="s">
        <v>172</v>
      </c>
      <c r="D43" s="73" t="n">
        <v>28</v>
      </c>
      <c r="E43" s="74"/>
      <c r="F43" s="75"/>
      <c r="G43" s="98"/>
      <c r="H43" s="98"/>
      <c r="I43" s="7"/>
      <c r="J43" s="7"/>
      <c r="K43" s="7"/>
    </row>
    <row r="44" customFormat="false" ht="12.5" hidden="false" customHeight="false" outlineLevel="0" collapsed="false">
      <c r="A44" s="72"/>
      <c r="B44" s="41" t="s">
        <v>173</v>
      </c>
      <c r="C44" s="6" t="s">
        <v>174</v>
      </c>
      <c r="D44" s="73" t="n">
        <v>29</v>
      </c>
      <c r="E44" s="74"/>
      <c r="F44" s="75"/>
      <c r="G44" s="98"/>
      <c r="H44" s="98"/>
      <c r="I44" s="7"/>
      <c r="J44" s="7"/>
      <c r="K44" s="7"/>
    </row>
    <row r="45" customFormat="false" ht="12.5" hidden="false" customHeight="false" outlineLevel="0" collapsed="false">
      <c r="A45" s="72"/>
      <c r="B45" s="41" t="s">
        <v>175</v>
      </c>
      <c r="C45" s="6" t="s">
        <v>176</v>
      </c>
      <c r="D45" s="73" t="s">
        <v>177</v>
      </c>
      <c r="E45" s="74"/>
      <c r="F45" s="75"/>
      <c r="G45" s="98"/>
      <c r="H45" s="98"/>
      <c r="I45" s="7"/>
      <c r="J45" s="7"/>
      <c r="K45" s="7"/>
    </row>
    <row r="46" customFormat="false" ht="12.5" hidden="false" customHeight="false" outlineLevel="0" collapsed="false">
      <c r="A46" s="72"/>
      <c r="B46" s="41" t="s">
        <v>175</v>
      </c>
      <c r="C46" s="6" t="s">
        <v>178</v>
      </c>
      <c r="D46" s="73" t="s">
        <v>179</v>
      </c>
      <c r="E46" s="74"/>
      <c r="F46" s="75"/>
      <c r="G46" s="98"/>
      <c r="H46" s="98"/>
      <c r="I46" s="7"/>
      <c r="J46" s="7"/>
      <c r="K46" s="7"/>
    </row>
    <row r="47" customFormat="false" ht="12.5" hidden="false" customHeight="false" outlineLevel="0" collapsed="false">
      <c r="A47" s="72"/>
      <c r="B47" s="41" t="s">
        <v>180</v>
      </c>
      <c r="C47" s="6" t="s">
        <v>181</v>
      </c>
      <c r="D47" s="73" t="s">
        <v>182</v>
      </c>
      <c r="E47" s="74"/>
      <c r="F47" s="75"/>
      <c r="G47" s="98"/>
      <c r="H47" s="98"/>
      <c r="I47" s="7"/>
      <c r="J47" s="7"/>
      <c r="K47" s="7"/>
    </row>
    <row r="48" customFormat="false" ht="12.5" hidden="false" customHeight="false" outlineLevel="0" collapsed="false">
      <c r="A48" s="72"/>
      <c r="B48" s="41" t="s">
        <v>183</v>
      </c>
      <c r="C48" s="6" t="s">
        <v>184</v>
      </c>
      <c r="D48" s="73" t="s">
        <v>185</v>
      </c>
      <c r="E48" s="74"/>
      <c r="F48" s="75"/>
      <c r="G48" s="98"/>
      <c r="H48" s="98"/>
      <c r="I48" s="7"/>
      <c r="J48" s="7"/>
      <c r="K48" s="7"/>
    </row>
    <row r="49" customFormat="false" ht="12.5" hidden="false" customHeight="false" outlineLevel="0" collapsed="false">
      <c r="A49" s="72"/>
      <c r="B49" s="41" t="s">
        <v>186</v>
      </c>
      <c r="C49" s="6" t="s">
        <v>187</v>
      </c>
      <c r="D49" s="73" t="s">
        <v>188</v>
      </c>
      <c r="E49" s="74"/>
      <c r="F49" s="75"/>
      <c r="G49" s="98"/>
      <c r="H49" s="98"/>
      <c r="I49" s="7"/>
      <c r="J49" s="7"/>
      <c r="K49" s="7"/>
    </row>
    <row r="50" customFormat="false" ht="12.5" hidden="false" customHeight="false" outlineLevel="0" collapsed="false">
      <c r="A50" s="72"/>
      <c r="B50" s="41" t="s">
        <v>189</v>
      </c>
      <c r="C50" s="6" t="s">
        <v>190</v>
      </c>
      <c r="D50" s="73" t="s">
        <v>191</v>
      </c>
      <c r="E50" s="74"/>
      <c r="F50" s="75"/>
      <c r="G50" s="98"/>
      <c r="H50" s="98"/>
      <c r="I50" s="7"/>
      <c r="J50" s="7"/>
      <c r="K50" s="7"/>
    </row>
    <row r="51" customFormat="false" ht="12.5" hidden="false" customHeight="false" outlineLevel="0" collapsed="false">
      <c r="A51" s="72"/>
      <c r="B51" s="41" t="s">
        <v>192</v>
      </c>
      <c r="C51" s="6" t="n">
        <v>0</v>
      </c>
      <c r="D51" s="73" t="n">
        <v>30</v>
      </c>
      <c r="E51" s="74"/>
      <c r="F51" s="75"/>
      <c r="G51" s="98"/>
      <c r="H51" s="98"/>
      <c r="I51" s="7"/>
      <c r="J51" s="7"/>
      <c r="K51" s="7"/>
    </row>
    <row r="52" customFormat="false" ht="12.5" hidden="false" customHeight="false" outlineLevel="0" collapsed="false">
      <c r="A52" s="72"/>
      <c r="B52" s="41" t="s">
        <v>193</v>
      </c>
      <c r="C52" s="6" t="n">
        <v>1</v>
      </c>
      <c r="D52" s="73" t="n">
        <v>31</v>
      </c>
      <c r="E52" s="74"/>
      <c r="F52" s="75"/>
      <c r="G52" s="98"/>
      <c r="H52" s="98"/>
      <c r="I52" s="7"/>
      <c r="J52" s="7"/>
      <c r="K52" s="7"/>
    </row>
    <row r="53" customFormat="false" ht="12.5" hidden="false" customHeight="false" outlineLevel="0" collapsed="false">
      <c r="A53" s="72"/>
      <c r="B53" s="41" t="s">
        <v>194</v>
      </c>
      <c r="C53" s="6" t="n">
        <v>2</v>
      </c>
      <c r="D53" s="73" t="n">
        <v>32</v>
      </c>
      <c r="E53" s="74"/>
      <c r="F53" s="75"/>
      <c r="G53" s="98"/>
      <c r="H53" s="98"/>
      <c r="I53" s="7"/>
      <c r="J53" s="7"/>
      <c r="K53" s="7"/>
    </row>
    <row r="54" customFormat="false" ht="12.5" hidden="false" customHeight="false" outlineLevel="0" collapsed="false">
      <c r="A54" s="72"/>
      <c r="B54" s="41" t="s">
        <v>195</v>
      </c>
      <c r="C54" s="6" t="n">
        <v>3</v>
      </c>
      <c r="D54" s="73" t="n">
        <v>33</v>
      </c>
      <c r="E54" s="74"/>
      <c r="F54" s="75"/>
      <c r="G54" s="98"/>
      <c r="H54" s="98"/>
      <c r="I54" s="7"/>
      <c r="J54" s="7"/>
      <c r="K54" s="7"/>
    </row>
    <row r="55" customFormat="false" ht="12.5" hidden="false" customHeight="false" outlineLevel="0" collapsed="false">
      <c r="A55" s="72"/>
      <c r="B55" s="41" t="s">
        <v>196</v>
      </c>
      <c r="C55" s="6" t="n">
        <v>4</v>
      </c>
      <c r="D55" s="73" t="n">
        <v>34</v>
      </c>
      <c r="E55" s="74"/>
      <c r="F55" s="75"/>
      <c r="G55" s="98"/>
      <c r="H55" s="98"/>
      <c r="I55" s="7"/>
      <c r="J55" s="7"/>
      <c r="K55" s="7"/>
    </row>
    <row r="56" customFormat="false" ht="12.5" hidden="false" customHeight="false" outlineLevel="0" collapsed="false">
      <c r="A56" s="72"/>
      <c r="B56" s="41" t="s">
        <v>197</v>
      </c>
      <c r="C56" s="6" t="n">
        <v>5</v>
      </c>
      <c r="D56" s="73" t="n">
        <v>35</v>
      </c>
      <c r="E56" s="74"/>
      <c r="F56" s="75"/>
      <c r="G56" s="98"/>
      <c r="H56" s="98"/>
      <c r="I56" s="7"/>
      <c r="J56" s="7"/>
      <c r="K56" s="7"/>
    </row>
    <row r="57" customFormat="false" ht="12.5" hidden="false" customHeight="false" outlineLevel="0" collapsed="false">
      <c r="A57" s="72"/>
      <c r="B57" s="41" t="s">
        <v>198</v>
      </c>
      <c r="C57" s="6" t="n">
        <v>6</v>
      </c>
      <c r="D57" s="73" t="n">
        <v>36</v>
      </c>
      <c r="E57" s="74"/>
      <c r="F57" s="75"/>
      <c r="G57" s="98"/>
      <c r="H57" s="98"/>
      <c r="I57" s="7"/>
      <c r="J57" s="7"/>
      <c r="K57" s="7"/>
    </row>
    <row r="58" customFormat="false" ht="12.5" hidden="false" customHeight="false" outlineLevel="0" collapsed="false">
      <c r="A58" s="72"/>
      <c r="B58" s="41" t="s">
        <v>199</v>
      </c>
      <c r="C58" s="6" t="n">
        <v>7</v>
      </c>
      <c r="D58" s="73" t="n">
        <v>37</v>
      </c>
      <c r="E58" s="74"/>
      <c r="F58" s="75"/>
      <c r="G58" s="98"/>
      <c r="H58" s="98"/>
      <c r="I58" s="7"/>
      <c r="J58" s="7"/>
      <c r="K58" s="7"/>
    </row>
    <row r="59" customFormat="false" ht="12.5" hidden="false" customHeight="false" outlineLevel="0" collapsed="false">
      <c r="A59" s="72"/>
      <c r="B59" s="41" t="s">
        <v>200</v>
      </c>
      <c r="C59" s="6" t="n">
        <v>8</v>
      </c>
      <c r="D59" s="73" t="n">
        <v>38</v>
      </c>
      <c r="E59" s="74"/>
      <c r="F59" s="75"/>
      <c r="G59" s="98"/>
      <c r="H59" s="98"/>
      <c r="I59" s="7"/>
      <c r="J59" s="7"/>
      <c r="K59" s="7"/>
    </row>
    <row r="60" customFormat="false" ht="12.5" hidden="false" customHeight="false" outlineLevel="0" collapsed="false">
      <c r="A60" s="72"/>
      <c r="B60" s="41" t="s">
        <v>201</v>
      </c>
      <c r="C60" s="6" t="n">
        <v>9</v>
      </c>
      <c r="D60" s="73" t="n">
        <v>39</v>
      </c>
      <c r="E60" s="74"/>
      <c r="F60" s="75"/>
      <c r="G60" s="98"/>
      <c r="H60" s="98"/>
      <c r="I60" s="7"/>
      <c r="J60" s="7"/>
      <c r="K60" s="7"/>
    </row>
    <row r="61" customFormat="false" ht="12.5" hidden="false" customHeight="false" outlineLevel="0" collapsed="false">
      <c r="A61" s="72"/>
      <c r="B61" s="41" t="s">
        <v>202</v>
      </c>
      <c r="C61" s="6" t="s">
        <v>203</v>
      </c>
      <c r="D61" s="73" t="s">
        <v>204</v>
      </c>
      <c r="E61" s="74"/>
      <c r="F61" s="75"/>
      <c r="G61" s="98"/>
      <c r="H61" s="98"/>
      <c r="I61" s="7"/>
      <c r="J61" s="7"/>
      <c r="K61" s="7"/>
    </row>
    <row r="62" customFormat="false" ht="12.5" hidden="false" customHeight="false" outlineLevel="0" collapsed="false">
      <c r="A62" s="72"/>
      <c r="B62" s="41" t="s">
        <v>205</v>
      </c>
      <c r="C62" s="6" t="s">
        <v>206</v>
      </c>
      <c r="D62" s="73" t="s">
        <v>207</v>
      </c>
      <c r="E62" s="74"/>
      <c r="F62" s="75"/>
      <c r="G62" s="98"/>
      <c r="H62" s="98"/>
      <c r="I62" s="7"/>
      <c r="J62" s="7"/>
      <c r="K62" s="7"/>
    </row>
    <row r="63" customFormat="false" ht="12.5" hidden="false" customHeight="false" outlineLevel="0" collapsed="false">
      <c r="A63" s="72"/>
      <c r="B63" s="41" t="s">
        <v>208</v>
      </c>
      <c r="C63" s="6" t="s">
        <v>209</v>
      </c>
      <c r="D63" s="73" t="s">
        <v>210</v>
      </c>
      <c r="E63" s="74"/>
      <c r="F63" s="75"/>
      <c r="G63" s="98"/>
      <c r="H63" s="98"/>
      <c r="I63" s="7"/>
      <c r="J63" s="7"/>
      <c r="K63" s="7"/>
    </row>
    <row r="64" customFormat="false" ht="12.5" hidden="false" customHeight="false" outlineLevel="0" collapsed="false">
      <c r="A64" s="72"/>
      <c r="B64" s="41" t="s">
        <v>211</v>
      </c>
      <c r="C64" s="6" t="s">
        <v>212</v>
      </c>
      <c r="D64" s="73" t="s">
        <v>213</v>
      </c>
      <c r="E64" s="74"/>
      <c r="F64" s="75"/>
      <c r="G64" s="98"/>
      <c r="H64" s="98"/>
      <c r="I64" s="7"/>
      <c r="J64" s="7"/>
      <c r="K64" s="7"/>
    </row>
    <row r="65" customFormat="false" ht="12.5" hidden="false" customHeight="false" outlineLevel="0" collapsed="false">
      <c r="A65" s="72"/>
      <c r="B65" s="41" t="s">
        <v>214</v>
      </c>
      <c r="C65" s="6" t="s">
        <v>215</v>
      </c>
      <c r="D65" s="73" t="s">
        <v>216</v>
      </c>
      <c r="E65" s="74"/>
      <c r="F65" s="75"/>
      <c r="G65" s="98"/>
      <c r="H65" s="98"/>
      <c r="I65" s="7"/>
      <c r="J65" s="7"/>
      <c r="K65" s="7"/>
    </row>
    <row r="66" customFormat="false" ht="13" hidden="false" customHeight="false" outlineLevel="0" collapsed="false">
      <c r="A66" s="72" t="s">
        <v>218</v>
      </c>
      <c r="B66" s="41" t="s">
        <v>217</v>
      </c>
      <c r="C66" s="6" t="s">
        <v>218</v>
      </c>
      <c r="D66" s="73" t="s">
        <v>219</v>
      </c>
      <c r="E66" s="74" t="s">
        <v>286</v>
      </c>
      <c r="F66" s="75" t="s">
        <v>665</v>
      </c>
      <c r="G66" s="98" t="s">
        <v>666</v>
      </c>
      <c r="H66" s="98" t="s">
        <v>234</v>
      </c>
      <c r="I66" s="7"/>
      <c r="J66" s="100" t="s">
        <v>667</v>
      </c>
      <c r="K66" s="101"/>
    </row>
    <row r="67" customFormat="false" ht="13" hidden="false" customHeight="false" outlineLevel="0" collapsed="false">
      <c r="A67" s="72"/>
      <c r="B67" s="41" t="s">
        <v>220</v>
      </c>
      <c r="C67" s="6" t="s">
        <v>221</v>
      </c>
      <c r="D67" s="73" t="n">
        <v>40</v>
      </c>
      <c r="E67" s="74" t="s">
        <v>286</v>
      </c>
      <c r="F67" s="75" t="s">
        <v>668</v>
      </c>
      <c r="G67" s="98" t="s">
        <v>669</v>
      </c>
      <c r="H67" s="98" t="s">
        <v>670</v>
      </c>
      <c r="I67" s="7"/>
      <c r="J67" s="100" t="s">
        <v>671</v>
      </c>
      <c r="K67" s="7"/>
    </row>
    <row r="68" customFormat="false" ht="13" hidden="false" customHeight="false" outlineLevel="0" collapsed="false">
      <c r="A68" s="72"/>
      <c r="B68" s="41" t="s">
        <v>229</v>
      </c>
      <c r="C68" s="6" t="s">
        <v>230</v>
      </c>
      <c r="D68" s="73" t="n">
        <v>41</v>
      </c>
      <c r="E68" s="74" t="s">
        <v>218</v>
      </c>
      <c r="F68" s="75" t="s">
        <v>672</v>
      </c>
      <c r="G68" s="98" t="s">
        <v>673</v>
      </c>
      <c r="H68" s="98" t="s">
        <v>674</v>
      </c>
      <c r="I68" s="7"/>
      <c r="J68" s="100" t="s">
        <v>675</v>
      </c>
      <c r="K68" s="7"/>
    </row>
    <row r="69" customFormat="false" ht="52.5" hidden="false" customHeight="false" outlineLevel="0" collapsed="false">
      <c r="A69" s="72" t="s">
        <v>228</v>
      </c>
      <c r="B69" s="41" t="s">
        <v>236</v>
      </c>
      <c r="C69" s="6" t="s">
        <v>237</v>
      </c>
      <c r="D69" s="73" t="n">
        <v>42</v>
      </c>
      <c r="E69" s="74" t="s">
        <v>676</v>
      </c>
      <c r="F69" s="102" t="s">
        <v>677</v>
      </c>
      <c r="G69" s="98" t="s">
        <v>678</v>
      </c>
      <c r="H69" s="103" t="s">
        <v>679</v>
      </c>
      <c r="I69" s="7"/>
      <c r="J69" s="100" t="s">
        <v>680</v>
      </c>
      <c r="K69" s="7"/>
    </row>
    <row r="70" customFormat="false" ht="13" hidden="false" customHeight="false" outlineLevel="0" collapsed="false">
      <c r="A70" s="72"/>
      <c r="B70" s="41" t="s">
        <v>243</v>
      </c>
      <c r="C70" s="6" t="s">
        <v>244</v>
      </c>
      <c r="D70" s="73" t="n">
        <v>43</v>
      </c>
      <c r="E70" s="74" t="s">
        <v>681</v>
      </c>
      <c r="F70" s="75" t="s">
        <v>682</v>
      </c>
      <c r="G70" s="98" t="s">
        <v>683</v>
      </c>
      <c r="H70" s="98" t="s">
        <v>684</v>
      </c>
      <c r="I70" s="7"/>
      <c r="J70" s="100" t="s">
        <v>685</v>
      </c>
      <c r="K70" s="7"/>
    </row>
    <row r="71" customFormat="false" ht="25.5" hidden="false" customHeight="false" outlineLevel="0" collapsed="false">
      <c r="A71" s="72"/>
      <c r="B71" s="41" t="s">
        <v>248</v>
      </c>
      <c r="C71" s="6" t="s">
        <v>249</v>
      </c>
      <c r="D71" s="73" t="n">
        <v>44</v>
      </c>
      <c r="E71" s="74" t="s">
        <v>686</v>
      </c>
      <c r="F71" s="75" t="s">
        <v>687</v>
      </c>
      <c r="G71" s="98" t="s">
        <v>688</v>
      </c>
      <c r="H71" s="98" t="s">
        <v>234</v>
      </c>
      <c r="I71" s="7"/>
      <c r="J71" s="100" t="s">
        <v>685</v>
      </c>
      <c r="K71" s="7"/>
    </row>
    <row r="72" customFormat="false" ht="13" hidden="false" customHeight="false" outlineLevel="0" collapsed="false">
      <c r="A72" s="72"/>
      <c r="B72" s="41" t="s">
        <v>253</v>
      </c>
      <c r="C72" s="6" t="s">
        <v>254</v>
      </c>
      <c r="D72" s="73" t="n">
        <v>45</v>
      </c>
      <c r="E72" s="74" t="s">
        <v>286</v>
      </c>
      <c r="F72" s="75" t="s">
        <v>689</v>
      </c>
      <c r="G72" s="98" t="s">
        <v>690</v>
      </c>
      <c r="H72" s="98" t="s">
        <v>684</v>
      </c>
      <c r="I72" s="7"/>
      <c r="J72" s="100" t="s">
        <v>685</v>
      </c>
      <c r="K72" s="7"/>
    </row>
    <row r="73" customFormat="false" ht="25.5" hidden="false" customHeight="false" outlineLevel="0" collapsed="false">
      <c r="A73" s="72"/>
      <c r="B73" s="41" t="s">
        <v>258</v>
      </c>
      <c r="C73" s="6" t="s">
        <v>259</v>
      </c>
      <c r="D73" s="73" t="n">
        <v>46</v>
      </c>
      <c r="E73" s="74" t="s">
        <v>286</v>
      </c>
      <c r="F73" s="75" t="s">
        <v>691</v>
      </c>
      <c r="G73" s="98" t="s">
        <v>692</v>
      </c>
      <c r="H73" s="98" t="s">
        <v>693</v>
      </c>
      <c r="I73" s="7"/>
      <c r="J73" s="100" t="s">
        <v>694</v>
      </c>
      <c r="K73" s="7"/>
    </row>
    <row r="74" customFormat="false" ht="13" hidden="false" customHeight="false" outlineLevel="0" collapsed="false">
      <c r="A74" s="72" t="s">
        <v>218</v>
      </c>
      <c r="B74" s="41" t="s">
        <v>263</v>
      </c>
      <c r="C74" s="6" t="s">
        <v>264</v>
      </c>
      <c r="D74" s="73" t="n">
        <v>47</v>
      </c>
      <c r="E74" s="74" t="s">
        <v>695</v>
      </c>
      <c r="F74" s="75" t="s">
        <v>696</v>
      </c>
      <c r="G74" s="98" t="s">
        <v>697</v>
      </c>
      <c r="H74" s="98" t="s">
        <v>698</v>
      </c>
      <c r="I74" s="7"/>
      <c r="J74" s="100" t="s">
        <v>699</v>
      </c>
      <c r="K74" s="7"/>
    </row>
    <row r="75" customFormat="false" ht="12.5" hidden="false" customHeight="false" outlineLevel="0" collapsed="false">
      <c r="A75" s="72"/>
      <c r="B75" s="41" t="s">
        <v>267</v>
      </c>
      <c r="C75" s="6" t="s">
        <v>268</v>
      </c>
      <c r="D75" s="73" t="n">
        <v>48</v>
      </c>
      <c r="E75" s="74"/>
      <c r="F75" s="75"/>
      <c r="G75" s="98"/>
      <c r="H75" s="98"/>
      <c r="I75" s="7"/>
      <c r="J75" s="7"/>
      <c r="K75" s="7"/>
    </row>
    <row r="76" customFormat="false" ht="12.5" hidden="false" customHeight="false" outlineLevel="0" collapsed="false">
      <c r="A76" s="72"/>
      <c r="B76" s="41" t="s">
        <v>275</v>
      </c>
      <c r="C76" s="6" t="s">
        <v>276</v>
      </c>
      <c r="D76" s="73" t="n">
        <v>49</v>
      </c>
      <c r="E76" s="74"/>
      <c r="F76" s="75"/>
      <c r="G76" s="98"/>
      <c r="H76" s="98"/>
      <c r="I76" s="7"/>
      <c r="J76" s="7"/>
      <c r="K76" s="7"/>
    </row>
    <row r="77" customFormat="false" ht="12.5" hidden="false" customHeight="false" outlineLevel="0" collapsed="false">
      <c r="A77" s="72"/>
      <c r="B77" s="41" t="s">
        <v>283</v>
      </c>
      <c r="C77" s="6" t="s">
        <v>284</v>
      </c>
      <c r="D77" s="73" t="s">
        <v>285</v>
      </c>
      <c r="E77" s="74"/>
      <c r="F77" s="75"/>
      <c r="G77" s="98"/>
      <c r="H77" s="98"/>
      <c r="I77" s="7"/>
      <c r="J77" s="7"/>
      <c r="K77" s="7"/>
    </row>
    <row r="78" customFormat="false" ht="12.5" hidden="false" customHeight="false" outlineLevel="0" collapsed="false">
      <c r="A78" s="72"/>
      <c r="B78" s="41" t="s">
        <v>291</v>
      </c>
      <c r="C78" s="6" t="s">
        <v>292</v>
      </c>
      <c r="D78" s="73" t="s">
        <v>293</v>
      </c>
      <c r="E78" s="74"/>
      <c r="F78" s="75"/>
      <c r="G78" s="98"/>
      <c r="H78" s="98"/>
      <c r="I78" s="7"/>
      <c r="J78" s="7"/>
      <c r="K78" s="7"/>
    </row>
    <row r="79" customFormat="false" ht="38.5" hidden="false" customHeight="false" outlineLevel="0" collapsed="false">
      <c r="A79" s="72"/>
      <c r="B79" s="41" t="s">
        <v>298</v>
      </c>
      <c r="C79" s="6" t="s">
        <v>299</v>
      </c>
      <c r="D79" s="73" t="s">
        <v>300</v>
      </c>
      <c r="E79" s="74" t="s">
        <v>700</v>
      </c>
      <c r="F79" s="75" t="s">
        <v>701</v>
      </c>
      <c r="G79" s="98" t="s">
        <v>702</v>
      </c>
      <c r="H79" s="104" t="s">
        <v>703</v>
      </c>
      <c r="I79" s="7"/>
      <c r="J79" s="100" t="s">
        <v>704</v>
      </c>
      <c r="K79" s="7"/>
    </row>
    <row r="80" customFormat="false" ht="13" hidden="false" customHeight="false" outlineLevel="0" collapsed="false">
      <c r="A80" s="72"/>
      <c r="B80" s="41" t="s">
        <v>305</v>
      </c>
      <c r="C80" s="6" t="s">
        <v>306</v>
      </c>
      <c r="D80" s="73" t="s">
        <v>307</v>
      </c>
      <c r="E80" s="74" t="s">
        <v>705</v>
      </c>
      <c r="F80" s="75" t="s">
        <v>706</v>
      </c>
      <c r="G80" s="98" t="s">
        <v>707</v>
      </c>
      <c r="H80" s="98" t="s">
        <v>708</v>
      </c>
      <c r="I80" s="7"/>
      <c r="J80" s="100" t="s">
        <v>704</v>
      </c>
      <c r="K80" s="7"/>
    </row>
    <row r="81" customFormat="false" ht="13" hidden="false" customHeight="false" outlineLevel="0" collapsed="false">
      <c r="A81" s="72"/>
      <c r="B81" s="41" t="s">
        <v>312</v>
      </c>
      <c r="C81" s="6" t="s">
        <v>313</v>
      </c>
      <c r="D81" s="73" t="s">
        <v>314</v>
      </c>
      <c r="E81" s="74" t="s">
        <v>705</v>
      </c>
      <c r="F81" s="75" t="s">
        <v>709</v>
      </c>
      <c r="G81" s="98" t="s">
        <v>710</v>
      </c>
      <c r="H81" s="98" t="s">
        <v>234</v>
      </c>
      <c r="I81" s="7"/>
      <c r="J81" s="100" t="s">
        <v>704</v>
      </c>
      <c r="K81" s="7"/>
    </row>
    <row r="82" customFormat="false" ht="65" hidden="false" customHeight="false" outlineLevel="0" collapsed="false">
      <c r="A82" s="105" t="s">
        <v>228</v>
      </c>
      <c r="B82" s="41" t="s">
        <v>319</v>
      </c>
      <c r="C82" s="6" t="s">
        <v>320</v>
      </c>
      <c r="D82" s="73" t="s">
        <v>321</v>
      </c>
      <c r="E82" s="74" t="s">
        <v>711</v>
      </c>
      <c r="F82" s="75" t="s">
        <v>712</v>
      </c>
      <c r="G82" s="104" t="s">
        <v>713</v>
      </c>
      <c r="H82" s="104" t="s">
        <v>714</v>
      </c>
      <c r="I82" s="7"/>
      <c r="J82" s="106" t="s">
        <v>715</v>
      </c>
      <c r="K82" s="7"/>
    </row>
    <row r="83" customFormat="false" ht="38" hidden="false" customHeight="false" outlineLevel="0" collapsed="false">
      <c r="A83" s="72" t="s">
        <v>228</v>
      </c>
      <c r="B83" s="41" t="s">
        <v>327</v>
      </c>
      <c r="C83" s="6" t="s">
        <v>328</v>
      </c>
      <c r="D83" s="73" t="n">
        <v>50</v>
      </c>
      <c r="E83" s="74" t="s">
        <v>676</v>
      </c>
      <c r="F83" s="75" t="s">
        <v>716</v>
      </c>
      <c r="G83" s="98" t="s">
        <v>717</v>
      </c>
      <c r="H83" s="98" t="s">
        <v>684</v>
      </c>
      <c r="I83" s="7"/>
      <c r="J83" s="100" t="s">
        <v>718</v>
      </c>
      <c r="K83" s="7"/>
    </row>
    <row r="84" customFormat="false" ht="25.5" hidden="false" customHeight="false" outlineLevel="0" collapsed="false">
      <c r="A84" s="72" t="s">
        <v>228</v>
      </c>
      <c r="B84" s="41" t="s">
        <v>336</v>
      </c>
      <c r="C84" s="6" t="s">
        <v>337</v>
      </c>
      <c r="D84" s="73" t="n">
        <v>51</v>
      </c>
      <c r="E84" s="74" t="s">
        <v>719</v>
      </c>
      <c r="F84" s="75" t="s">
        <v>720</v>
      </c>
      <c r="G84" s="98" t="s">
        <v>721</v>
      </c>
      <c r="H84" s="98" t="s">
        <v>234</v>
      </c>
      <c r="I84" s="7"/>
      <c r="J84" s="100" t="s">
        <v>718</v>
      </c>
      <c r="K84" s="7"/>
    </row>
    <row r="85" customFormat="false" ht="12.5" hidden="false" customHeight="false" outlineLevel="0" collapsed="false">
      <c r="A85" s="72"/>
      <c r="B85" s="41" t="s">
        <v>344</v>
      </c>
      <c r="C85" s="6" t="s">
        <v>345</v>
      </c>
      <c r="D85" s="73" t="n">
        <v>52</v>
      </c>
      <c r="E85" s="74"/>
      <c r="F85" s="75"/>
      <c r="G85" s="98"/>
      <c r="H85" s="98"/>
      <c r="I85" s="7"/>
      <c r="J85" s="7"/>
      <c r="K85" s="7"/>
    </row>
    <row r="86" customFormat="false" ht="12.5" hidden="false" customHeight="false" outlineLevel="0" collapsed="false">
      <c r="A86" s="72"/>
      <c r="B86" s="41" t="s">
        <v>350</v>
      </c>
      <c r="C86" s="6" t="s">
        <v>351</v>
      </c>
      <c r="D86" s="73" t="n">
        <v>53</v>
      </c>
      <c r="E86" s="74"/>
      <c r="F86" s="75"/>
      <c r="G86" s="98"/>
      <c r="H86" s="98"/>
      <c r="I86" s="7"/>
      <c r="J86" s="7"/>
      <c r="K86" s="7"/>
    </row>
    <row r="87" customFormat="false" ht="12.5" hidden="false" customHeight="false" outlineLevel="0" collapsed="false">
      <c r="A87" s="72"/>
      <c r="B87" s="41" t="s">
        <v>358</v>
      </c>
      <c r="C87" s="6" t="s">
        <v>359</v>
      </c>
      <c r="D87" s="73" t="n">
        <v>54</v>
      </c>
      <c r="E87" s="74"/>
      <c r="F87" s="75"/>
      <c r="G87" s="98"/>
      <c r="H87" s="98"/>
      <c r="I87" s="7"/>
      <c r="J87" s="7"/>
      <c r="K87" s="7"/>
    </row>
    <row r="88" customFormat="false" ht="12.5" hidden="false" customHeight="false" outlineLevel="0" collapsed="false">
      <c r="A88" s="72"/>
      <c r="B88" s="41" t="s">
        <v>365</v>
      </c>
      <c r="C88" s="6" t="s">
        <v>366</v>
      </c>
      <c r="D88" s="73" t="n">
        <v>55</v>
      </c>
      <c r="E88" s="74"/>
      <c r="F88" s="75"/>
      <c r="G88" s="98"/>
      <c r="H88" s="98"/>
      <c r="I88" s="7"/>
      <c r="J88" s="7"/>
      <c r="K88" s="7"/>
    </row>
    <row r="89" customFormat="false" ht="25.5" hidden="false" customHeight="false" outlineLevel="0" collapsed="false">
      <c r="A89" s="72" t="s">
        <v>228</v>
      </c>
      <c r="B89" s="41" t="s">
        <v>371</v>
      </c>
      <c r="C89" s="6" t="s">
        <v>372</v>
      </c>
      <c r="D89" s="73" t="n">
        <v>56</v>
      </c>
      <c r="E89" s="74" t="s">
        <v>711</v>
      </c>
      <c r="F89" s="75" t="s">
        <v>722</v>
      </c>
      <c r="G89" s="104" t="s">
        <v>723</v>
      </c>
      <c r="H89" s="104" t="s">
        <v>517</v>
      </c>
      <c r="I89" s="7"/>
      <c r="J89" s="106" t="s">
        <v>715</v>
      </c>
      <c r="K89" s="7"/>
    </row>
    <row r="90" customFormat="false" ht="38.5" hidden="false" customHeight="false" outlineLevel="0" collapsed="false">
      <c r="A90" s="72" t="s">
        <v>228</v>
      </c>
      <c r="B90" s="41" t="s">
        <v>378</v>
      </c>
      <c r="C90" s="6" t="s">
        <v>379</v>
      </c>
      <c r="D90" s="73" t="n">
        <v>57</v>
      </c>
      <c r="E90" s="74" t="s">
        <v>724</v>
      </c>
      <c r="F90" s="75" t="s">
        <v>725</v>
      </c>
      <c r="G90" s="98" t="s">
        <v>726</v>
      </c>
      <c r="H90" s="98" t="s">
        <v>234</v>
      </c>
      <c r="I90" s="7"/>
      <c r="J90" s="100" t="s">
        <v>718</v>
      </c>
      <c r="K90" s="7"/>
    </row>
    <row r="91" customFormat="false" ht="25.5" hidden="false" customHeight="false" outlineLevel="0" collapsed="false">
      <c r="A91" s="72" t="s">
        <v>228</v>
      </c>
      <c r="B91" s="41" t="s">
        <v>385</v>
      </c>
      <c r="C91" s="6" t="s">
        <v>386</v>
      </c>
      <c r="D91" s="73" t="n">
        <v>58</v>
      </c>
      <c r="E91" s="74" t="s">
        <v>681</v>
      </c>
      <c r="F91" s="75" t="s">
        <v>727</v>
      </c>
      <c r="G91" s="107" t="s">
        <v>728</v>
      </c>
      <c r="H91" s="98" t="s">
        <v>684</v>
      </c>
      <c r="I91" s="7"/>
      <c r="J91" s="100" t="s">
        <v>718</v>
      </c>
      <c r="K91" s="7"/>
    </row>
    <row r="92" customFormat="false" ht="25.5" hidden="false" customHeight="false" outlineLevel="0" collapsed="false">
      <c r="A92" s="72" t="s">
        <v>228</v>
      </c>
      <c r="B92" s="41" t="s">
        <v>388</v>
      </c>
      <c r="C92" s="6" t="s">
        <v>228</v>
      </c>
      <c r="D92" s="73" t="n">
        <v>59</v>
      </c>
      <c r="E92" s="74" t="s">
        <v>729</v>
      </c>
      <c r="F92" s="75" t="s">
        <v>730</v>
      </c>
      <c r="G92" s="98" t="s">
        <v>731</v>
      </c>
      <c r="H92" s="98" t="s">
        <v>234</v>
      </c>
      <c r="I92" s="7"/>
      <c r="J92" s="108" t="s">
        <v>732</v>
      </c>
      <c r="K92" s="7"/>
    </row>
    <row r="93" customFormat="false" ht="12.5" hidden="false" customHeight="false" outlineLevel="0" collapsed="false">
      <c r="A93" s="72"/>
      <c r="B93" s="41" t="s">
        <v>395</v>
      </c>
      <c r="C93" s="6" t="s">
        <v>396</v>
      </c>
      <c r="D93" s="73" t="s">
        <v>397</v>
      </c>
      <c r="E93" s="74"/>
      <c r="F93" s="75"/>
      <c r="G93" s="98"/>
      <c r="H93" s="98"/>
      <c r="I93" s="7"/>
      <c r="J93" s="7"/>
      <c r="K93" s="7"/>
    </row>
    <row r="94" customFormat="false" ht="12.5" hidden="false" customHeight="false" outlineLevel="0" collapsed="false">
      <c r="A94" s="72"/>
      <c r="B94" s="41" t="s">
        <v>404</v>
      </c>
      <c r="C94" s="6" t="s">
        <v>405</v>
      </c>
      <c r="D94" s="73" t="s">
        <v>406</v>
      </c>
      <c r="E94" s="74"/>
      <c r="F94" s="75"/>
      <c r="G94" s="98"/>
      <c r="H94" s="98"/>
      <c r="I94" s="7"/>
      <c r="J94" s="7"/>
      <c r="K94" s="7"/>
    </row>
    <row r="95" customFormat="false" ht="12.5" hidden="false" customHeight="false" outlineLevel="0" collapsed="false">
      <c r="A95" s="72"/>
      <c r="B95" s="41" t="s">
        <v>411</v>
      </c>
      <c r="C95" s="6" t="s">
        <v>190</v>
      </c>
      <c r="D95" s="73" t="s">
        <v>412</v>
      </c>
      <c r="E95" s="74"/>
      <c r="F95" s="75"/>
      <c r="G95" s="98"/>
      <c r="H95" s="98"/>
      <c r="I95" s="7"/>
      <c r="J95" s="7"/>
      <c r="K95" s="7"/>
    </row>
    <row r="96" customFormat="false" ht="12.5" hidden="false" customHeight="false" outlineLevel="0" collapsed="false">
      <c r="A96" s="72"/>
      <c r="B96" s="41" t="s">
        <v>413</v>
      </c>
      <c r="C96" s="6" t="s">
        <v>414</v>
      </c>
      <c r="D96" s="73" t="s">
        <v>415</v>
      </c>
      <c r="E96" s="74"/>
      <c r="F96" s="75"/>
      <c r="G96" s="98"/>
      <c r="H96" s="98"/>
      <c r="I96" s="7"/>
      <c r="J96" s="7"/>
      <c r="K96" s="7"/>
    </row>
    <row r="97" customFormat="false" ht="12.5" hidden="false" customHeight="false" outlineLevel="0" collapsed="false">
      <c r="A97" s="72"/>
      <c r="B97" s="41" t="s">
        <v>416</v>
      </c>
      <c r="C97" s="6" t="s">
        <v>417</v>
      </c>
      <c r="D97" s="73" t="s">
        <v>418</v>
      </c>
      <c r="E97" s="74"/>
      <c r="F97" s="75"/>
      <c r="G97" s="98"/>
      <c r="H97" s="98"/>
      <c r="I97" s="7"/>
      <c r="J97" s="7"/>
      <c r="K97" s="7"/>
    </row>
    <row r="98" customFormat="false" ht="12.5" hidden="false" customHeight="false" outlineLevel="0" collapsed="false">
      <c r="A98" s="72"/>
      <c r="B98" s="41" t="s">
        <v>419</v>
      </c>
      <c r="C98" s="6" t="s">
        <v>420</v>
      </c>
      <c r="D98" s="73" t="s">
        <v>421</v>
      </c>
      <c r="E98" s="74"/>
      <c r="F98" s="75"/>
      <c r="G98" s="98"/>
      <c r="H98" s="98"/>
      <c r="I98" s="7"/>
      <c r="J98" s="7"/>
      <c r="K98" s="7"/>
    </row>
    <row r="99" customFormat="false" ht="12.5" hidden="false" customHeight="false" outlineLevel="0" collapsed="false">
      <c r="A99" s="72"/>
      <c r="B99" s="41" t="s">
        <v>422</v>
      </c>
      <c r="C99" s="6" t="s">
        <v>423</v>
      </c>
      <c r="D99" s="73" t="n">
        <v>60</v>
      </c>
      <c r="E99" s="74"/>
      <c r="F99" s="75"/>
      <c r="G99" s="98"/>
      <c r="H99" s="98"/>
      <c r="I99" s="7"/>
      <c r="J99" s="7"/>
      <c r="K99" s="7"/>
    </row>
    <row r="100" customFormat="false" ht="12.5" hidden="false" customHeight="false" outlineLevel="0" collapsed="false">
      <c r="A100" s="72"/>
      <c r="B100" s="41" t="s">
        <v>424</v>
      </c>
      <c r="C100" s="6" t="s">
        <v>425</v>
      </c>
      <c r="D100" s="73" t="n">
        <v>61</v>
      </c>
      <c r="E100" s="74"/>
      <c r="F100" s="75"/>
      <c r="G100" s="98"/>
      <c r="H100" s="98"/>
      <c r="I100" s="7"/>
      <c r="J100" s="7"/>
      <c r="K100" s="7"/>
    </row>
    <row r="101" customFormat="false" ht="12.5" hidden="false" customHeight="false" outlineLevel="0" collapsed="false">
      <c r="A101" s="72"/>
      <c r="B101" s="41" t="s">
        <v>431</v>
      </c>
      <c r="C101" s="6" t="s">
        <v>432</v>
      </c>
      <c r="D101" s="73" t="n">
        <v>62</v>
      </c>
      <c r="E101" s="74"/>
      <c r="F101" s="75"/>
      <c r="G101" s="98"/>
      <c r="H101" s="98"/>
      <c r="I101" s="7"/>
      <c r="J101" s="7"/>
      <c r="K101" s="7"/>
    </row>
    <row r="102" customFormat="false" ht="12.5" hidden="false" customHeight="false" outlineLevel="0" collapsed="false">
      <c r="A102" s="72"/>
      <c r="B102" s="41" t="s">
        <v>437</v>
      </c>
      <c r="C102" s="6" t="s">
        <v>438</v>
      </c>
      <c r="D102" s="73" t="n">
        <v>63</v>
      </c>
      <c r="E102" s="74"/>
      <c r="F102" s="75"/>
      <c r="G102" s="98"/>
      <c r="H102" s="98"/>
      <c r="I102" s="7"/>
      <c r="J102" s="7"/>
      <c r="K102" s="7"/>
    </row>
    <row r="103" customFormat="false" ht="12.5" hidden="false" customHeight="false" outlineLevel="0" collapsed="false">
      <c r="A103" s="72"/>
      <c r="B103" s="41" t="s">
        <v>442</v>
      </c>
      <c r="C103" s="6" t="s">
        <v>443</v>
      </c>
      <c r="D103" s="73" t="n">
        <v>64</v>
      </c>
      <c r="E103" s="74"/>
      <c r="F103" s="75"/>
      <c r="G103" s="98"/>
      <c r="H103" s="98"/>
      <c r="I103" s="7"/>
      <c r="J103" s="7"/>
      <c r="K103" s="7"/>
    </row>
    <row r="104" customFormat="false" ht="12.5" hidden="false" customHeight="false" outlineLevel="0" collapsed="false">
      <c r="A104" s="72"/>
      <c r="B104" s="41" t="s">
        <v>446</v>
      </c>
      <c r="C104" s="6" t="s">
        <v>447</v>
      </c>
      <c r="D104" s="73" t="n">
        <v>65</v>
      </c>
      <c r="E104" s="74"/>
      <c r="F104" s="75"/>
      <c r="G104" s="98"/>
      <c r="H104" s="98"/>
      <c r="I104" s="7"/>
      <c r="J104" s="7"/>
      <c r="K104" s="7"/>
    </row>
    <row r="105" customFormat="false" ht="12.5" hidden="false" customHeight="false" outlineLevel="0" collapsed="false">
      <c r="A105" s="72"/>
      <c r="B105" s="41" t="s">
        <v>453</v>
      </c>
      <c r="C105" s="6" t="s">
        <v>454</v>
      </c>
      <c r="D105" s="73" t="n">
        <v>66</v>
      </c>
      <c r="E105" s="74"/>
      <c r="F105" s="75"/>
      <c r="G105" s="98"/>
      <c r="H105" s="98"/>
      <c r="I105" s="7"/>
      <c r="J105" s="7"/>
      <c r="K105" s="7"/>
    </row>
    <row r="106" customFormat="false" ht="38" hidden="false" customHeight="false" outlineLevel="0" collapsed="false">
      <c r="A106" s="72" t="s">
        <v>228</v>
      </c>
      <c r="B106" s="41" t="s">
        <v>459</v>
      </c>
      <c r="C106" s="6" t="s">
        <v>460</v>
      </c>
      <c r="D106" s="73" t="n">
        <v>67</v>
      </c>
      <c r="E106" s="74" t="s">
        <v>733</v>
      </c>
      <c r="F106" s="75" t="s">
        <v>734</v>
      </c>
      <c r="G106" s="109" t="s">
        <v>735</v>
      </c>
      <c r="H106" s="104" t="s">
        <v>517</v>
      </c>
      <c r="I106" s="7"/>
      <c r="J106" s="106" t="s">
        <v>715</v>
      </c>
      <c r="K106" s="75" t="s">
        <v>736</v>
      </c>
    </row>
    <row r="107" customFormat="false" ht="25" hidden="false" customHeight="false" outlineLevel="0" collapsed="false">
      <c r="A107" s="72"/>
      <c r="B107" s="41" t="s">
        <v>466</v>
      </c>
      <c r="C107" s="6" t="s">
        <v>467</v>
      </c>
      <c r="D107" s="73" t="n">
        <v>68</v>
      </c>
      <c r="E107" s="110"/>
      <c r="F107" s="102" t="s">
        <v>737</v>
      </c>
      <c r="G107" s="98"/>
      <c r="H107" s="98"/>
      <c r="I107" s="7"/>
      <c r="J107" s="7"/>
      <c r="K107" s="7"/>
    </row>
    <row r="108" customFormat="false" ht="12.5" hidden="false" customHeight="false" outlineLevel="0" collapsed="false">
      <c r="A108" s="72"/>
      <c r="B108" s="41" t="s">
        <v>472</v>
      </c>
      <c r="C108" s="6" t="s">
        <v>473</v>
      </c>
      <c r="D108" s="73" t="n">
        <v>69</v>
      </c>
      <c r="E108" s="110" t="s">
        <v>719</v>
      </c>
      <c r="F108" s="102" t="s">
        <v>738</v>
      </c>
      <c r="G108" s="98"/>
      <c r="H108" s="98"/>
      <c r="I108" s="7"/>
      <c r="J108" s="7"/>
      <c r="K108" s="7" t="s">
        <v>739</v>
      </c>
    </row>
    <row r="109" customFormat="false" ht="25" hidden="false" customHeight="false" outlineLevel="0" collapsed="false">
      <c r="A109" s="72"/>
      <c r="B109" s="41" t="s">
        <v>479</v>
      </c>
      <c r="C109" s="6" t="s">
        <v>480</v>
      </c>
      <c r="D109" s="73" t="s">
        <v>481</v>
      </c>
      <c r="E109" s="110" t="s">
        <v>740</v>
      </c>
      <c r="F109" s="102" t="s">
        <v>741</v>
      </c>
      <c r="G109" s="98"/>
      <c r="H109" s="98"/>
      <c r="I109" s="7"/>
      <c r="J109" s="7" t="s">
        <v>742</v>
      </c>
      <c r="K109" s="7"/>
    </row>
    <row r="110" customFormat="false" ht="12.5" hidden="false" customHeight="false" outlineLevel="0" collapsed="false">
      <c r="A110" s="72"/>
      <c r="B110" s="41" t="s">
        <v>486</v>
      </c>
      <c r="C110" s="6" t="s">
        <v>487</v>
      </c>
      <c r="D110" s="73" t="s">
        <v>488</v>
      </c>
      <c r="E110" s="74" t="s">
        <v>743</v>
      </c>
      <c r="F110" s="75"/>
      <c r="G110" s="98"/>
      <c r="H110" s="98"/>
      <c r="I110" s="7"/>
      <c r="J110" s="7"/>
      <c r="K110" s="7"/>
    </row>
    <row r="111" s="119" customFormat="true" ht="25.5" hidden="false" customHeight="false" outlineLevel="0" collapsed="false">
      <c r="A111" s="111"/>
      <c r="B111" s="112" t="s">
        <v>494</v>
      </c>
      <c r="C111" s="113" t="s">
        <v>495</v>
      </c>
      <c r="D111" s="114" t="s">
        <v>496</v>
      </c>
      <c r="E111" s="115" t="s">
        <v>744</v>
      </c>
      <c r="F111" s="116" t="s">
        <v>745</v>
      </c>
      <c r="G111" s="103" t="s">
        <v>746</v>
      </c>
      <c r="H111" s="103" t="s">
        <v>747</v>
      </c>
      <c r="I111" s="117"/>
      <c r="J111" s="118" t="s">
        <v>748</v>
      </c>
      <c r="K111" s="117"/>
    </row>
    <row r="112" customFormat="false" ht="12.5" hidden="false" customHeight="false" outlineLevel="0" collapsed="false">
      <c r="A112" s="72"/>
      <c r="B112" s="41" t="s">
        <v>501</v>
      </c>
      <c r="C112" s="6" t="s">
        <v>502</v>
      </c>
      <c r="D112" s="73" t="s">
        <v>503</v>
      </c>
      <c r="E112" s="74"/>
      <c r="F112" s="75"/>
      <c r="G112" s="98"/>
      <c r="H112" s="98"/>
      <c r="I112" s="7"/>
      <c r="J112" s="7"/>
      <c r="K112" s="7"/>
    </row>
    <row r="113" customFormat="false" ht="23.5" hidden="false" customHeight="false" outlineLevel="0" collapsed="false">
      <c r="A113" s="72" t="s">
        <v>228</v>
      </c>
      <c r="B113" s="41" t="s">
        <v>506</v>
      </c>
      <c r="C113" s="6" t="s">
        <v>507</v>
      </c>
      <c r="D113" s="73" t="s">
        <v>508</v>
      </c>
      <c r="E113" s="74" t="s">
        <v>711</v>
      </c>
      <c r="F113" s="75" t="s">
        <v>749</v>
      </c>
      <c r="G113" s="104" t="s">
        <v>750</v>
      </c>
      <c r="H113" s="104" t="s">
        <v>517</v>
      </c>
      <c r="I113" s="7"/>
      <c r="J113" s="106" t="s">
        <v>751</v>
      </c>
      <c r="K113" s="7"/>
    </row>
    <row r="114" customFormat="false" ht="25.5" hidden="false" customHeight="false" outlineLevel="0" collapsed="false">
      <c r="A114" s="72" t="s">
        <v>228</v>
      </c>
      <c r="B114" s="41" t="s">
        <v>511</v>
      </c>
      <c r="C114" s="6" t="s">
        <v>512</v>
      </c>
      <c r="D114" s="73" t="s">
        <v>513</v>
      </c>
      <c r="E114" s="74" t="s">
        <v>711</v>
      </c>
      <c r="F114" s="75" t="s">
        <v>752</v>
      </c>
      <c r="G114" s="104" t="s">
        <v>753</v>
      </c>
      <c r="H114" s="104" t="s">
        <v>517</v>
      </c>
      <c r="I114" s="7"/>
      <c r="J114" s="106" t="s">
        <v>754</v>
      </c>
      <c r="K114" s="7"/>
    </row>
    <row r="115" customFormat="false" ht="12.5" hidden="false" customHeight="false" outlineLevel="0" collapsed="false">
      <c r="A115" s="72"/>
      <c r="B115" s="41" t="s">
        <v>518</v>
      </c>
      <c r="C115" s="6" t="s">
        <v>519</v>
      </c>
      <c r="D115" s="73" t="s">
        <v>520</v>
      </c>
      <c r="E115" s="74"/>
      <c r="F115" s="75"/>
      <c r="G115" s="98"/>
      <c r="H115" s="98"/>
      <c r="I115" s="7"/>
      <c r="J115" s="7"/>
      <c r="K115" s="7"/>
    </row>
    <row r="116" customFormat="false" ht="12.5" hidden="false" customHeight="false" outlineLevel="0" collapsed="false">
      <c r="A116" s="72"/>
      <c r="B116" s="41" t="s">
        <v>525</v>
      </c>
      <c r="C116" s="6" t="s">
        <v>526</v>
      </c>
      <c r="D116" s="73" t="s">
        <v>527</v>
      </c>
      <c r="E116" s="74"/>
      <c r="F116" s="75"/>
      <c r="G116" s="98"/>
      <c r="H116" s="98"/>
      <c r="I116" s="7"/>
      <c r="J116" s="7"/>
      <c r="K116" s="7"/>
    </row>
    <row r="117" customFormat="false" ht="12.5" hidden="false" customHeight="false" outlineLevel="0" collapsed="false">
      <c r="A117" s="72"/>
      <c r="B117" s="41" t="s">
        <v>530</v>
      </c>
      <c r="C117" s="6" t="s">
        <v>531</v>
      </c>
      <c r="D117" s="73" t="s">
        <v>532</v>
      </c>
      <c r="E117" s="74"/>
      <c r="F117" s="75"/>
      <c r="G117" s="98"/>
      <c r="H117" s="98"/>
      <c r="I117" s="7"/>
      <c r="J117" s="7"/>
      <c r="K117" s="7"/>
    </row>
    <row r="118" customFormat="false" ht="12.5" hidden="false" customHeight="false" outlineLevel="0" collapsed="false">
      <c r="A118" s="72"/>
      <c r="B118" s="41" t="s">
        <v>536</v>
      </c>
      <c r="C118" s="6" t="s">
        <v>537</v>
      </c>
      <c r="D118" s="73" t="s">
        <v>538</v>
      </c>
      <c r="E118" s="74"/>
      <c r="F118" s="75"/>
      <c r="G118" s="98"/>
      <c r="H118" s="98"/>
      <c r="I118" s="7"/>
      <c r="J118" s="7"/>
      <c r="K118" s="7"/>
    </row>
    <row r="119" customFormat="false" ht="12.5" hidden="false" customHeight="false" outlineLevel="0" collapsed="false">
      <c r="A119" s="72"/>
      <c r="B119" s="41" t="s">
        <v>542</v>
      </c>
      <c r="C119" s="6" t="s">
        <v>543</v>
      </c>
      <c r="D119" s="73" t="s">
        <v>544</v>
      </c>
      <c r="E119" s="74"/>
      <c r="F119" s="75"/>
      <c r="G119" s="98"/>
      <c r="H119" s="98"/>
      <c r="I119" s="7"/>
      <c r="J119" s="7"/>
      <c r="K119" s="7"/>
    </row>
    <row r="120" customFormat="false" ht="12.5" hidden="false" customHeight="false" outlineLevel="0" collapsed="false">
      <c r="A120" s="72"/>
      <c r="B120" s="41" t="s">
        <v>550</v>
      </c>
      <c r="C120" s="6" t="s">
        <v>551</v>
      </c>
      <c r="D120" s="73" t="s">
        <v>552</v>
      </c>
      <c r="E120" s="74"/>
      <c r="F120" s="75"/>
      <c r="G120" s="98"/>
      <c r="H120" s="98"/>
      <c r="I120" s="7"/>
      <c r="J120" s="7"/>
      <c r="K120" s="7"/>
    </row>
    <row r="121" customFormat="false" ht="12.5" hidden="false" customHeight="false" outlineLevel="0" collapsed="false">
      <c r="A121" s="72"/>
      <c r="B121" s="41" t="s">
        <v>557</v>
      </c>
      <c r="C121" s="6" t="s">
        <v>558</v>
      </c>
      <c r="D121" s="73" t="s">
        <v>559</v>
      </c>
      <c r="E121" s="74"/>
      <c r="F121" s="75"/>
      <c r="G121" s="98"/>
      <c r="H121" s="98"/>
      <c r="I121" s="7"/>
      <c r="J121" s="7"/>
      <c r="K121" s="7"/>
    </row>
    <row r="122" customFormat="false" ht="12.5" hidden="false" customHeight="false" outlineLevel="0" collapsed="false">
      <c r="A122" s="72"/>
      <c r="B122" s="41" t="s">
        <v>565</v>
      </c>
      <c r="C122" s="6" t="s">
        <v>566</v>
      </c>
      <c r="D122" s="73" t="s">
        <v>567</v>
      </c>
      <c r="E122" s="74"/>
      <c r="F122" s="75"/>
      <c r="G122" s="98"/>
      <c r="H122" s="98"/>
      <c r="I122" s="7"/>
      <c r="J122" s="7"/>
      <c r="K122" s="7"/>
    </row>
    <row r="123" customFormat="false" ht="12.5" hidden="false" customHeight="false" outlineLevel="0" collapsed="false">
      <c r="A123" s="72"/>
      <c r="B123" s="41" t="s">
        <v>572</v>
      </c>
      <c r="C123" s="6" t="s">
        <v>573</v>
      </c>
      <c r="D123" s="73" t="s">
        <v>574</v>
      </c>
      <c r="E123" s="74"/>
      <c r="F123" s="75"/>
      <c r="G123" s="98"/>
      <c r="H123" s="98"/>
      <c r="I123" s="7"/>
      <c r="J123" s="7"/>
      <c r="K123" s="7"/>
    </row>
    <row r="124" customFormat="false" ht="12.5" hidden="false" customHeight="false" outlineLevel="0" collapsed="false">
      <c r="A124" s="72"/>
      <c r="B124" s="41" t="s">
        <v>577</v>
      </c>
      <c r="C124" s="6" t="s">
        <v>578</v>
      </c>
      <c r="D124" s="73" t="s">
        <v>579</v>
      </c>
      <c r="E124" s="74"/>
      <c r="F124" s="75"/>
      <c r="G124" s="98"/>
      <c r="H124" s="98"/>
      <c r="I124" s="7"/>
      <c r="J124" s="7"/>
      <c r="K124" s="7"/>
    </row>
    <row r="125" customFormat="false" ht="12.5" hidden="false" customHeight="false" outlineLevel="0" collapsed="false">
      <c r="A125" s="72"/>
      <c r="B125" s="41" t="s">
        <v>583</v>
      </c>
      <c r="C125" s="6" t="s">
        <v>584</v>
      </c>
      <c r="D125" s="73" t="s">
        <v>585</v>
      </c>
      <c r="E125" s="74"/>
      <c r="F125" s="75"/>
      <c r="G125" s="98"/>
      <c r="H125" s="98"/>
      <c r="I125" s="7"/>
      <c r="J125" s="7"/>
      <c r="K125" s="7"/>
    </row>
    <row r="126" customFormat="false" ht="12.5" hidden="false" customHeight="false" outlineLevel="0" collapsed="false">
      <c r="A126" s="72"/>
      <c r="B126" s="41" t="s">
        <v>589</v>
      </c>
      <c r="C126" s="6" t="s">
        <v>590</v>
      </c>
      <c r="D126" s="73" t="s">
        <v>591</v>
      </c>
      <c r="E126" s="74"/>
      <c r="F126" s="75"/>
      <c r="G126" s="98"/>
      <c r="H126" s="98"/>
      <c r="I126" s="7"/>
      <c r="J126" s="7"/>
      <c r="K126" s="7"/>
    </row>
    <row r="127" customFormat="false" ht="12.5" hidden="false" customHeight="false" outlineLevel="0" collapsed="false">
      <c r="A127" s="72"/>
      <c r="B127" s="41" t="s">
        <v>592</v>
      </c>
      <c r="C127" s="6" t="s">
        <v>593</v>
      </c>
      <c r="D127" s="73" t="s">
        <v>594</v>
      </c>
      <c r="E127" s="74"/>
      <c r="F127" s="75"/>
      <c r="G127" s="98"/>
      <c r="H127" s="98"/>
      <c r="I127" s="7"/>
      <c r="J127" s="7"/>
      <c r="K127" s="7"/>
    </row>
    <row r="128" customFormat="false" ht="12.5" hidden="false" customHeight="false" outlineLevel="0" collapsed="false">
      <c r="A128" s="72"/>
      <c r="B128" s="41" t="s">
        <v>595</v>
      </c>
      <c r="C128" s="6" t="s">
        <v>596</v>
      </c>
      <c r="D128" s="73" t="s">
        <v>597</v>
      </c>
      <c r="E128" s="74"/>
      <c r="F128" s="75"/>
      <c r="G128" s="98"/>
      <c r="H128" s="98"/>
      <c r="I128" s="7"/>
      <c r="J128" s="7"/>
      <c r="K128" s="7"/>
    </row>
    <row r="129" customFormat="false" ht="12.5" hidden="false" customHeight="false" outlineLevel="0" collapsed="false">
      <c r="A129" s="72"/>
      <c r="B129" s="41" t="s">
        <v>598</v>
      </c>
      <c r="C129" s="6" t="s">
        <v>599</v>
      </c>
      <c r="D129" s="73" t="s">
        <v>600</v>
      </c>
      <c r="E129" s="74"/>
      <c r="F129" s="75"/>
      <c r="G129" s="98"/>
      <c r="H129" s="98"/>
      <c r="I129" s="7"/>
      <c r="J129" s="7"/>
      <c r="K129" s="7"/>
    </row>
    <row r="130" customFormat="false" ht="12.5" hidden="false" customHeight="false" outlineLevel="0" collapsed="false">
      <c r="A130" s="72"/>
      <c r="B130" s="41" t="s">
        <v>601</v>
      </c>
      <c r="C130" s="6" t="s">
        <v>602</v>
      </c>
      <c r="D130" s="73" t="s">
        <v>603</v>
      </c>
      <c r="E130" s="74"/>
      <c r="F130" s="75"/>
      <c r="G130" s="98"/>
      <c r="H130" s="98"/>
      <c r="I130" s="7"/>
      <c r="J130" s="7"/>
      <c r="K130" s="7"/>
    </row>
    <row r="131" customFormat="false" ht="13" hidden="false" customHeight="false" outlineLevel="0" collapsed="false">
      <c r="A131" s="120" t="s">
        <v>604</v>
      </c>
      <c r="B131" s="101" t="s">
        <v>755</v>
      </c>
      <c r="C131" s="6"/>
      <c r="D131" s="73"/>
      <c r="E131" s="74"/>
      <c r="F131" s="75"/>
      <c r="G131" s="98"/>
      <c r="H131" s="98"/>
      <c r="I131" s="7"/>
      <c r="J131" s="7"/>
      <c r="K131" s="7"/>
    </row>
    <row r="132" customFormat="false" ht="12.5" hidden="false" customHeight="false" outlineLevel="0" collapsed="false">
      <c r="A132" s="72" t="s">
        <v>228</v>
      </c>
      <c r="B132" s="7"/>
      <c r="C132" s="6" t="s">
        <v>230</v>
      </c>
      <c r="D132" s="73" t="n">
        <v>41</v>
      </c>
      <c r="E132" s="74"/>
      <c r="F132" s="75" t="s">
        <v>605</v>
      </c>
      <c r="G132" s="98"/>
      <c r="H132" s="98"/>
      <c r="I132" s="7"/>
      <c r="J132" s="7"/>
      <c r="K132" s="7"/>
    </row>
    <row r="133" customFormat="false" ht="25" hidden="false" customHeight="false" outlineLevel="0" collapsed="false">
      <c r="A133" s="72" t="s">
        <v>228</v>
      </c>
      <c r="B133" s="7"/>
      <c r="C133" s="6" t="s">
        <v>237</v>
      </c>
      <c r="D133" s="73" t="n">
        <v>42</v>
      </c>
      <c r="E133" s="74"/>
      <c r="F133" s="75" t="s">
        <v>606</v>
      </c>
      <c r="G133" s="98"/>
      <c r="H133" s="98"/>
      <c r="I133" s="7"/>
      <c r="J133" s="7"/>
      <c r="K133" s="7"/>
    </row>
    <row r="134" customFormat="false" ht="12.5" hidden="false" customHeight="false" outlineLevel="0" collapsed="false">
      <c r="A134" s="72"/>
      <c r="B134" s="7"/>
      <c r="C134" s="6" t="s">
        <v>244</v>
      </c>
      <c r="D134" s="73" t="n">
        <v>43</v>
      </c>
      <c r="E134" s="74"/>
      <c r="F134" s="75"/>
      <c r="G134" s="98"/>
      <c r="H134" s="98"/>
      <c r="I134" s="7"/>
      <c r="J134" s="7"/>
      <c r="K134" s="7"/>
    </row>
    <row r="135" customFormat="false" ht="12.5" hidden="false" customHeight="false" outlineLevel="0" collapsed="false">
      <c r="A135" s="72"/>
      <c r="B135" s="7"/>
      <c r="C135" s="6" t="s">
        <v>249</v>
      </c>
      <c r="D135" s="73" t="n">
        <v>44</v>
      </c>
      <c r="E135" s="74"/>
      <c r="F135" s="75"/>
      <c r="G135" s="98"/>
      <c r="H135" s="98"/>
      <c r="I135" s="7"/>
      <c r="J135" s="7"/>
      <c r="K135" s="7"/>
    </row>
    <row r="136" customFormat="false" ht="12.5" hidden="false" customHeight="false" outlineLevel="0" collapsed="false">
      <c r="A136" s="72" t="s">
        <v>228</v>
      </c>
      <c r="B136" s="7"/>
      <c r="C136" s="6" t="s">
        <v>254</v>
      </c>
      <c r="D136" s="73" t="n">
        <v>45</v>
      </c>
      <c r="E136" s="74"/>
      <c r="F136" s="75" t="s">
        <v>607</v>
      </c>
      <c r="G136" s="98"/>
      <c r="H136" s="98"/>
      <c r="I136" s="7"/>
      <c r="J136" s="7"/>
      <c r="K136" s="7"/>
    </row>
    <row r="137" customFormat="false" ht="12.5" hidden="false" customHeight="false" outlineLevel="0" collapsed="false">
      <c r="A137" s="72" t="s">
        <v>228</v>
      </c>
      <c r="B137" s="7"/>
      <c r="C137" s="6" t="s">
        <v>259</v>
      </c>
      <c r="D137" s="73" t="n">
        <v>46</v>
      </c>
      <c r="E137" s="74"/>
      <c r="F137" s="75" t="s">
        <v>608</v>
      </c>
      <c r="G137" s="98"/>
      <c r="H137" s="98"/>
      <c r="I137" s="7"/>
      <c r="J137" s="7"/>
      <c r="K137" s="7"/>
    </row>
    <row r="138" customFormat="false" ht="12.5" hidden="false" customHeight="false" outlineLevel="0" collapsed="false">
      <c r="A138" s="72" t="s">
        <v>228</v>
      </c>
      <c r="B138" s="7"/>
      <c r="C138" s="6" t="s">
        <v>264</v>
      </c>
      <c r="D138" s="73" t="n">
        <v>47</v>
      </c>
      <c r="E138" s="74"/>
      <c r="F138" s="75" t="s">
        <v>610</v>
      </c>
      <c r="G138" s="98"/>
      <c r="H138" s="98"/>
      <c r="I138" s="7"/>
      <c r="J138" s="7"/>
      <c r="K138" s="7"/>
    </row>
    <row r="139" customFormat="false" ht="12.5" hidden="false" customHeight="false" outlineLevel="0" collapsed="false">
      <c r="A139" s="72" t="s">
        <v>228</v>
      </c>
      <c r="B139" s="7"/>
      <c r="C139" s="6" t="s">
        <v>268</v>
      </c>
      <c r="D139" s="73" t="n">
        <v>48</v>
      </c>
      <c r="E139" s="74"/>
      <c r="F139" s="75" t="s">
        <v>611</v>
      </c>
      <c r="G139" s="98"/>
      <c r="H139" s="98"/>
      <c r="I139" s="7"/>
      <c r="J139" s="7"/>
      <c r="K139" s="7"/>
    </row>
    <row r="140" customFormat="false" ht="12.5" hidden="false" customHeight="false" outlineLevel="0" collapsed="false">
      <c r="A140" s="72" t="s">
        <v>228</v>
      </c>
      <c r="B140" s="7"/>
      <c r="C140" s="6" t="s">
        <v>276</v>
      </c>
      <c r="D140" s="73" t="n">
        <v>49</v>
      </c>
      <c r="E140" s="74"/>
      <c r="F140" s="75" t="s">
        <v>612</v>
      </c>
      <c r="G140" s="98"/>
      <c r="H140" s="98"/>
      <c r="I140" s="7"/>
      <c r="J140" s="7"/>
      <c r="K140" s="7"/>
    </row>
    <row r="141" customFormat="false" ht="12.5" hidden="false" customHeight="false" outlineLevel="0" collapsed="false">
      <c r="A141" s="72" t="s">
        <v>228</v>
      </c>
      <c r="B141" s="7"/>
      <c r="C141" s="6" t="s">
        <v>284</v>
      </c>
      <c r="D141" s="73" t="s">
        <v>285</v>
      </c>
      <c r="E141" s="74"/>
      <c r="F141" s="75" t="s">
        <v>613</v>
      </c>
      <c r="G141" s="98"/>
      <c r="H141" s="98"/>
      <c r="I141" s="7"/>
      <c r="J141" s="7"/>
      <c r="K141" s="7"/>
    </row>
    <row r="142" customFormat="false" ht="12.5" hidden="false" customHeight="false" outlineLevel="0" collapsed="false">
      <c r="A142" s="72" t="s">
        <v>228</v>
      </c>
      <c r="B142" s="7"/>
      <c r="C142" s="6" t="s">
        <v>396</v>
      </c>
      <c r="D142" s="73" t="s">
        <v>397</v>
      </c>
      <c r="E142" s="74"/>
      <c r="F142" s="75" t="s">
        <v>614</v>
      </c>
      <c r="G142" s="98"/>
      <c r="H142" s="98"/>
      <c r="I142" s="7"/>
      <c r="J142" s="7"/>
      <c r="K142" s="7"/>
    </row>
    <row r="143" customFormat="false" ht="12.5" hidden="false" customHeight="false" outlineLevel="0" collapsed="false">
      <c r="A143" s="0"/>
      <c r="D143" s="0"/>
      <c r="E143" s="0"/>
    </row>
    <row r="144" customFormat="false" ht="12.5" hidden="false" customHeight="false" outlineLevel="0" collapsed="false">
      <c r="A144" s="0"/>
      <c r="D144" s="0"/>
      <c r="E144" s="0"/>
    </row>
    <row r="145" customFormat="false" ht="12.5" hidden="false" customHeight="false" outlineLevel="0" collapsed="false">
      <c r="A145" s="80" t="s">
        <v>617</v>
      </c>
      <c r="B145" s="0" t="n">
        <f aca="false">COUNTIF(A3:A142,"Y")</f>
        <v>20</v>
      </c>
      <c r="D145" s="0"/>
      <c r="E145" s="0"/>
    </row>
    <row r="146" customFormat="false" ht="12.5" hidden="false" customHeight="false" outlineLevel="0" collapsed="false">
      <c r="A146" s="80" t="s">
        <v>618</v>
      </c>
      <c r="B146" s="0" t="n">
        <f aca="false">COUNTIF(A3:A142,"~?")</f>
        <v>0</v>
      </c>
      <c r="D146" s="0"/>
      <c r="E146" s="0"/>
    </row>
  </sheetData>
  <mergeCells count="1">
    <mergeCell ref="F3:F35"/>
  </mergeCells>
  <printOptions headings="false" gridLines="false" gridLinesSet="true" horizontalCentered="false" verticalCentered="false"/>
  <pageMargins left="0.5" right="0.5" top="0.5" bottom="0.5" header="0" footer="0.5"/>
  <pageSetup paperSize="1" scale="100" firstPageNumber="0" fitToWidth="1" fitToHeight="3" pageOrder="downThenOver" orientation="landscape" usePrinterDefaults="false" blackAndWhite="false" draft="false" cellComments="none" useFirstPageNumber="false" horizontalDpi="300" verticalDpi="300" copies="1"/>
  <headerFooter differentFirst="false" differentOddEven="false">
    <oddHeader>&amp;CNetwork terminal commands</oddHeader>
    <oddFooter>&amp;LNetwork Terminal Commands.xls&amp;C&amp;P&amp;R&amp;D</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C7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RowHeight="12.8"/>
  <cols>
    <col collapsed="false" hidden="false" max="1" min="1" style="0" width="2.48469387755102"/>
    <col collapsed="false" hidden="false" max="2" min="2" style="0" width="73.4336734693878"/>
    <col collapsed="false" hidden="false" max="3" min="3" style="0" width="26.780612244898"/>
    <col collapsed="false" hidden="false" max="1025" min="4" style="0" width="8.4234693877551"/>
  </cols>
  <sheetData>
    <row r="1" customFormat="false" ht="12.95" hidden="false" customHeight="true" outlineLevel="0" collapsed="false">
      <c r="A1" s="121" t="s">
        <v>221</v>
      </c>
      <c r="B1" s="122" t="s">
        <v>222</v>
      </c>
      <c r="C1" s="123"/>
    </row>
    <row r="2" customFormat="false" ht="12.95" hidden="false" customHeight="true" outlineLevel="0" collapsed="false">
      <c r="A2" s="121" t="s">
        <v>230</v>
      </c>
      <c r="B2" s="122" t="s">
        <v>232</v>
      </c>
      <c r="C2" s="123" t="s">
        <v>231</v>
      </c>
    </row>
    <row r="3" customFormat="false" ht="12.95" hidden="false" customHeight="true" outlineLevel="0" collapsed="false">
      <c r="A3" s="121" t="s">
        <v>237</v>
      </c>
      <c r="B3" s="122" t="s">
        <v>238</v>
      </c>
      <c r="C3" s="123" t="s">
        <v>231</v>
      </c>
    </row>
    <row r="4" customFormat="false" ht="12.95" hidden="false" customHeight="true" outlineLevel="0" collapsed="false">
      <c r="A4" s="121" t="s">
        <v>244</v>
      </c>
      <c r="B4" s="122" t="s">
        <v>245</v>
      </c>
      <c r="C4" s="123" t="s">
        <v>231</v>
      </c>
    </row>
    <row r="5" customFormat="false" ht="12.95" hidden="false" customHeight="true" outlineLevel="0" collapsed="false">
      <c r="A5" s="121" t="s">
        <v>249</v>
      </c>
      <c r="B5" s="122" t="s">
        <v>250</v>
      </c>
      <c r="C5" s="123" t="s">
        <v>231</v>
      </c>
    </row>
    <row r="6" customFormat="false" ht="12.95" hidden="false" customHeight="true" outlineLevel="0" collapsed="false">
      <c r="A6" s="121" t="s">
        <v>254</v>
      </c>
      <c r="B6" s="122" t="s">
        <v>255</v>
      </c>
      <c r="C6" s="123" t="s">
        <v>231</v>
      </c>
    </row>
    <row r="7" customFormat="false" ht="12.95" hidden="false" customHeight="true" outlineLevel="0" collapsed="false">
      <c r="A7" s="121" t="s">
        <v>259</v>
      </c>
      <c r="B7" s="122" t="s">
        <v>260</v>
      </c>
      <c r="C7" s="123" t="s">
        <v>231</v>
      </c>
    </row>
    <row r="8" customFormat="false" ht="12.95" hidden="false" customHeight="true" outlineLevel="0" collapsed="false">
      <c r="A8" s="121" t="s">
        <v>264</v>
      </c>
      <c r="B8" s="122" t="s">
        <v>265</v>
      </c>
      <c r="C8" s="123" t="s">
        <v>231</v>
      </c>
    </row>
    <row r="9" customFormat="false" ht="12.95" hidden="false" customHeight="true" outlineLevel="0" collapsed="false">
      <c r="A9" s="121" t="s">
        <v>268</v>
      </c>
      <c r="B9" s="122" t="s">
        <v>270</v>
      </c>
      <c r="C9" s="123" t="s">
        <v>269</v>
      </c>
    </row>
    <row r="10" customFormat="false" ht="12.95" hidden="false" customHeight="true" outlineLevel="0" collapsed="false">
      <c r="A10" s="121" t="s">
        <v>276</v>
      </c>
      <c r="B10" s="122" t="s">
        <v>278</v>
      </c>
      <c r="C10" s="123" t="s">
        <v>277</v>
      </c>
    </row>
    <row r="11" customFormat="false" ht="12.95" hidden="false" customHeight="true" outlineLevel="0" collapsed="false">
      <c r="A11" s="121" t="s">
        <v>284</v>
      </c>
      <c r="B11" s="122" t="s">
        <v>287</v>
      </c>
      <c r="C11" s="123" t="s">
        <v>286</v>
      </c>
    </row>
    <row r="12" customFormat="false" ht="12.95" hidden="false" customHeight="true" outlineLevel="0" collapsed="false">
      <c r="A12" s="121" t="s">
        <v>292</v>
      </c>
      <c r="B12" s="122" t="s">
        <v>294</v>
      </c>
      <c r="C12" s="123" t="s">
        <v>286</v>
      </c>
    </row>
    <row r="13" customFormat="false" ht="12.95" hidden="false" customHeight="true" outlineLevel="0" collapsed="false">
      <c r="A13" s="121" t="s">
        <v>299</v>
      </c>
      <c r="B13" s="122" t="s">
        <v>301</v>
      </c>
      <c r="C13" s="123" t="s">
        <v>286</v>
      </c>
    </row>
    <row r="14" customFormat="false" ht="12.95" hidden="false" customHeight="true" outlineLevel="0" collapsed="false">
      <c r="A14" s="121" t="s">
        <v>306</v>
      </c>
      <c r="B14" s="122" t="s">
        <v>308</v>
      </c>
      <c r="C14" s="123" t="s">
        <v>286</v>
      </c>
    </row>
    <row r="15" customFormat="false" ht="12.95" hidden="false" customHeight="true" outlineLevel="0" collapsed="false">
      <c r="A15" s="121" t="s">
        <v>313</v>
      </c>
      <c r="B15" s="122" t="s">
        <v>316</v>
      </c>
      <c r="C15" s="123" t="s">
        <v>315</v>
      </c>
    </row>
    <row r="16" customFormat="false" ht="12.95" hidden="false" customHeight="true" outlineLevel="0" collapsed="false">
      <c r="A16" s="121" t="s">
        <v>320</v>
      </c>
      <c r="B16" s="122" t="s">
        <v>756</v>
      </c>
      <c r="C16" s="123" t="s">
        <v>286</v>
      </c>
    </row>
    <row r="17" customFormat="false" ht="12.95" hidden="false" customHeight="true" outlineLevel="0" collapsed="false">
      <c r="A17" s="121" t="s">
        <v>328</v>
      </c>
      <c r="B17" s="122" t="s">
        <v>757</v>
      </c>
      <c r="C17" s="123" t="s">
        <v>329</v>
      </c>
    </row>
    <row r="18" customFormat="false" ht="12.95" hidden="false" customHeight="true" outlineLevel="0" collapsed="false">
      <c r="A18" s="121" t="s">
        <v>337</v>
      </c>
      <c r="B18" s="124" t="s">
        <v>758</v>
      </c>
      <c r="C18" s="123" t="s">
        <v>338</v>
      </c>
    </row>
    <row r="19" customFormat="false" ht="12.95" hidden="false" customHeight="true" outlineLevel="0" collapsed="false">
      <c r="A19" s="121" t="s">
        <v>345</v>
      </c>
      <c r="B19" s="124" t="s">
        <v>759</v>
      </c>
      <c r="C19" s="123" t="s">
        <v>346</v>
      </c>
    </row>
    <row r="20" customFormat="false" ht="12.95" hidden="false" customHeight="true" outlineLevel="0" collapsed="false">
      <c r="A20" s="121" t="s">
        <v>351</v>
      </c>
      <c r="B20" s="125" t="s">
        <v>760</v>
      </c>
      <c r="C20" s="123" t="s">
        <v>352</v>
      </c>
    </row>
    <row r="21" customFormat="false" ht="12.95" hidden="false" customHeight="true" outlineLevel="0" collapsed="false">
      <c r="A21" s="121" t="s">
        <v>359</v>
      </c>
      <c r="B21" s="124" t="s">
        <v>761</v>
      </c>
      <c r="C21" s="123" t="s">
        <v>762</v>
      </c>
    </row>
    <row r="22" customFormat="false" ht="12.95" hidden="false" customHeight="true" outlineLevel="0" collapsed="false">
      <c r="A22" s="121" t="s">
        <v>366</v>
      </c>
      <c r="B22" s="122" t="s">
        <v>763</v>
      </c>
      <c r="C22" s="123" t="s">
        <v>367</v>
      </c>
    </row>
    <row r="23" customFormat="false" ht="12.95" hidden="false" customHeight="true" outlineLevel="0" collapsed="false">
      <c r="A23" s="121" t="s">
        <v>372</v>
      </c>
      <c r="B23" s="122" t="s">
        <v>764</v>
      </c>
      <c r="C23" s="123" t="s">
        <v>765</v>
      </c>
    </row>
    <row r="24" customFormat="false" ht="12.95" hidden="false" customHeight="true" outlineLevel="0" collapsed="false">
      <c r="A24" s="121" t="s">
        <v>379</v>
      </c>
      <c r="B24" s="122" t="s">
        <v>766</v>
      </c>
      <c r="C24" s="123"/>
    </row>
    <row r="25" customFormat="false" ht="12.95" hidden="false" customHeight="true" outlineLevel="0" collapsed="false">
      <c r="A25" s="121" t="s">
        <v>386</v>
      </c>
      <c r="B25" s="122" t="s">
        <v>387</v>
      </c>
      <c r="C25" s="123"/>
    </row>
    <row r="26" customFormat="false" ht="12.95" hidden="false" customHeight="true" outlineLevel="0" collapsed="false">
      <c r="A26" s="121" t="s">
        <v>228</v>
      </c>
      <c r="B26" s="126" t="s">
        <v>390</v>
      </c>
      <c r="C26" s="123" t="s">
        <v>389</v>
      </c>
    </row>
    <row r="27" customFormat="false" ht="12.95" hidden="false" customHeight="true" outlineLevel="0" collapsed="false">
      <c r="A27" s="121" t="s">
        <v>396</v>
      </c>
      <c r="B27" s="122" t="s">
        <v>399</v>
      </c>
      <c r="C27" s="123" t="s">
        <v>398</v>
      </c>
    </row>
    <row r="28" customFormat="false" ht="12.95" hidden="false" customHeight="true" outlineLevel="0" collapsed="false">
      <c r="A28" s="121" t="s">
        <v>405</v>
      </c>
      <c r="B28" s="127" t="s">
        <v>408</v>
      </c>
      <c r="C28" s="123" t="s">
        <v>407</v>
      </c>
    </row>
    <row r="29" customFormat="false" ht="12.95" hidden="false" customHeight="true" outlineLevel="0" collapsed="false">
      <c r="A29" s="121" t="s">
        <v>190</v>
      </c>
      <c r="B29" s="122"/>
      <c r="C29" s="123"/>
    </row>
    <row r="30" customFormat="false" ht="12.95" hidden="false" customHeight="true" outlineLevel="0" collapsed="false">
      <c r="A30" s="121" t="s">
        <v>414</v>
      </c>
      <c r="B30" s="122"/>
      <c r="C30" s="123"/>
    </row>
    <row r="31" customFormat="false" ht="12.95" hidden="false" customHeight="true" outlineLevel="0" collapsed="false">
      <c r="A31" s="121" t="s">
        <v>417</v>
      </c>
      <c r="B31" s="122"/>
      <c r="C31" s="123"/>
    </row>
    <row r="32" customFormat="false" ht="12.95" hidden="false" customHeight="true" outlineLevel="0" collapsed="false">
      <c r="A32" s="121" t="s">
        <v>420</v>
      </c>
      <c r="B32" s="122"/>
      <c r="C32" s="123"/>
    </row>
    <row r="33" customFormat="false" ht="12.95" hidden="false" customHeight="true" outlineLevel="0" collapsed="false">
      <c r="A33" s="121" t="s">
        <v>423</v>
      </c>
      <c r="B33" s="122"/>
      <c r="C33" s="123"/>
    </row>
    <row r="34" customFormat="false" ht="12.95" hidden="false" customHeight="true" outlineLevel="0" collapsed="false">
      <c r="A34" s="121" t="s">
        <v>425</v>
      </c>
      <c r="B34" s="122" t="s">
        <v>767</v>
      </c>
      <c r="C34" s="123" t="s">
        <v>426</v>
      </c>
    </row>
    <row r="35" customFormat="false" ht="12.95" hidden="false" customHeight="true" outlineLevel="0" collapsed="false">
      <c r="A35" s="121" t="s">
        <v>432</v>
      </c>
      <c r="B35" s="122" t="s">
        <v>434</v>
      </c>
      <c r="C35" s="123" t="s">
        <v>768</v>
      </c>
    </row>
    <row r="36" customFormat="false" ht="12.95" hidden="false" customHeight="true" outlineLevel="0" collapsed="false">
      <c r="A36" s="121" t="s">
        <v>438</v>
      </c>
      <c r="B36" s="122" t="s">
        <v>439</v>
      </c>
      <c r="C36" s="123"/>
    </row>
    <row r="37" customFormat="false" ht="12.95" hidden="false" customHeight="true" outlineLevel="0" collapsed="false">
      <c r="A37" s="121" t="s">
        <v>443</v>
      </c>
      <c r="B37" s="128" t="s">
        <v>769</v>
      </c>
      <c r="C37" s="123"/>
    </row>
    <row r="38" customFormat="false" ht="12.95" hidden="false" customHeight="true" outlineLevel="0" collapsed="false">
      <c r="A38" s="121" t="s">
        <v>447</v>
      </c>
      <c r="B38" s="122" t="s">
        <v>770</v>
      </c>
      <c r="C38" s="123"/>
    </row>
    <row r="39" customFormat="false" ht="12.95" hidden="false" customHeight="true" outlineLevel="0" collapsed="false">
      <c r="A39" s="121" t="s">
        <v>454</v>
      </c>
      <c r="B39" s="122" t="s">
        <v>456</v>
      </c>
      <c r="C39" s="123" t="s">
        <v>455</v>
      </c>
    </row>
    <row r="40" customFormat="false" ht="12.95" hidden="false" customHeight="true" outlineLevel="0" collapsed="false">
      <c r="A40" s="121" t="s">
        <v>460</v>
      </c>
      <c r="B40" s="122" t="s">
        <v>461</v>
      </c>
      <c r="C40" s="123"/>
    </row>
    <row r="41" customFormat="false" ht="12.95" hidden="false" customHeight="true" outlineLevel="0" collapsed="false">
      <c r="A41" s="121" t="s">
        <v>467</v>
      </c>
      <c r="B41" s="122" t="s">
        <v>468</v>
      </c>
      <c r="C41" s="123"/>
    </row>
    <row r="42" customFormat="false" ht="12.95" hidden="false" customHeight="true" outlineLevel="0" collapsed="false">
      <c r="A42" s="121" t="s">
        <v>473</v>
      </c>
      <c r="B42" s="122" t="s">
        <v>771</v>
      </c>
      <c r="C42" s="123" t="s">
        <v>474</v>
      </c>
    </row>
    <row r="43" customFormat="false" ht="12.95" hidden="false" customHeight="true" outlineLevel="0" collapsed="false">
      <c r="A43" s="121" t="s">
        <v>480</v>
      </c>
      <c r="B43" s="122" t="s">
        <v>483</v>
      </c>
      <c r="C43" s="123" t="s">
        <v>482</v>
      </c>
    </row>
    <row r="44" customFormat="false" ht="12.95" hidden="false" customHeight="true" outlineLevel="0" collapsed="false">
      <c r="A44" s="121" t="s">
        <v>487</v>
      </c>
      <c r="B44" s="122" t="s">
        <v>489</v>
      </c>
      <c r="C44" s="123"/>
    </row>
    <row r="45" customFormat="false" ht="12.95" hidden="false" customHeight="true" outlineLevel="0" collapsed="false">
      <c r="A45" s="121" t="s">
        <v>495</v>
      </c>
      <c r="B45" s="122" t="s">
        <v>497</v>
      </c>
      <c r="C45" s="123"/>
    </row>
    <row r="46" customFormat="false" ht="12.95" hidden="false" customHeight="true" outlineLevel="0" collapsed="false">
      <c r="A46" s="121" t="s">
        <v>502</v>
      </c>
      <c r="B46" s="122" t="s">
        <v>504</v>
      </c>
      <c r="C46" s="123"/>
    </row>
    <row r="47" customFormat="false" ht="12.95" hidden="false" customHeight="true" outlineLevel="0" collapsed="false">
      <c r="A47" s="121" t="s">
        <v>507</v>
      </c>
      <c r="B47" s="122" t="s">
        <v>509</v>
      </c>
      <c r="C47" s="123"/>
    </row>
    <row r="48" customFormat="false" ht="12.95" hidden="false" customHeight="true" outlineLevel="0" collapsed="false">
      <c r="A48" s="121" t="s">
        <v>512</v>
      </c>
      <c r="B48" s="122" t="s">
        <v>515</v>
      </c>
      <c r="C48" s="123" t="s">
        <v>514</v>
      </c>
    </row>
    <row r="49" customFormat="false" ht="12.95" hidden="false" customHeight="true" outlineLevel="0" collapsed="false">
      <c r="A49" s="121" t="s">
        <v>519</v>
      </c>
      <c r="B49" s="122" t="s">
        <v>522</v>
      </c>
      <c r="C49" s="123" t="s">
        <v>521</v>
      </c>
    </row>
    <row r="50" customFormat="false" ht="12.95" hidden="false" customHeight="true" outlineLevel="0" collapsed="false">
      <c r="A50" s="121" t="s">
        <v>526</v>
      </c>
      <c r="B50" s="122" t="s">
        <v>522</v>
      </c>
      <c r="C50" s="123" t="s">
        <v>521</v>
      </c>
    </row>
    <row r="51" customFormat="false" ht="12.95" hidden="false" customHeight="true" outlineLevel="0" collapsed="false">
      <c r="A51" s="121" t="s">
        <v>531</v>
      </c>
      <c r="B51" s="122" t="s">
        <v>534</v>
      </c>
      <c r="C51" s="123" t="s">
        <v>533</v>
      </c>
    </row>
    <row r="52" customFormat="false" ht="12.95" hidden="false" customHeight="true" outlineLevel="0" collapsed="false">
      <c r="A52" s="121" t="s">
        <v>537</v>
      </c>
      <c r="B52" s="122" t="s">
        <v>539</v>
      </c>
      <c r="C52" s="123"/>
    </row>
    <row r="53" customFormat="false" ht="12.95" hidden="false" customHeight="true" outlineLevel="0" collapsed="false">
      <c r="A53" s="121" t="s">
        <v>543</v>
      </c>
      <c r="B53" s="122" t="s">
        <v>772</v>
      </c>
      <c r="C53" s="123" t="s">
        <v>545</v>
      </c>
    </row>
    <row r="54" customFormat="false" ht="12.95" hidden="false" customHeight="true" outlineLevel="0" collapsed="false">
      <c r="A54" s="121" t="s">
        <v>551</v>
      </c>
      <c r="B54" s="122" t="s">
        <v>773</v>
      </c>
      <c r="C54" s="123"/>
    </row>
    <row r="55" customFormat="false" ht="12.95" hidden="false" customHeight="true" outlineLevel="0" collapsed="false">
      <c r="A55" s="121" t="s">
        <v>558</v>
      </c>
      <c r="B55" s="129" t="s">
        <v>774</v>
      </c>
      <c r="C55" s="123"/>
    </row>
    <row r="56" customFormat="false" ht="12.95" hidden="false" customHeight="true" outlineLevel="0" collapsed="false">
      <c r="A56" s="121" t="s">
        <v>566</v>
      </c>
      <c r="B56" s="122" t="s">
        <v>569</v>
      </c>
      <c r="C56" s="123" t="s">
        <v>568</v>
      </c>
    </row>
    <row r="57" customFormat="false" ht="12.95" hidden="false" customHeight="true" outlineLevel="0" collapsed="false">
      <c r="A57" s="121" t="s">
        <v>573</v>
      </c>
      <c r="B57" s="122" t="s">
        <v>569</v>
      </c>
      <c r="C57" s="123" t="s">
        <v>568</v>
      </c>
    </row>
    <row r="58" customFormat="false" ht="12.95" hidden="false" customHeight="true" outlineLevel="0" collapsed="false">
      <c r="A58" s="121" t="s">
        <v>578</v>
      </c>
      <c r="B58" s="122" t="s">
        <v>580</v>
      </c>
      <c r="C58" s="123" t="s">
        <v>514</v>
      </c>
    </row>
    <row r="59" customFormat="false" ht="12.95" hidden="false" customHeight="true" outlineLevel="0" collapsed="false">
      <c r="A59" s="121" t="s">
        <v>584</v>
      </c>
      <c r="B59" s="122" t="s">
        <v>586</v>
      </c>
      <c r="C59" s="123" t="s">
        <v>514</v>
      </c>
    </row>
    <row r="60" customFormat="false" ht="12.95" hidden="false" customHeight="true" outlineLevel="0" collapsed="false">
      <c r="A60" s="121" t="s">
        <v>590</v>
      </c>
      <c r="B60" s="122"/>
      <c r="C60" s="123"/>
    </row>
    <row r="61" customFormat="false" ht="12.95" hidden="false" customHeight="true" outlineLevel="0" collapsed="false">
      <c r="A61" s="121" t="s">
        <v>593</v>
      </c>
      <c r="B61" s="122"/>
      <c r="C61" s="123"/>
    </row>
    <row r="62" customFormat="false" ht="12.95" hidden="false" customHeight="true" outlineLevel="0" collapsed="false">
      <c r="A62" s="121" t="s">
        <v>596</v>
      </c>
      <c r="B62" s="122"/>
      <c r="C62" s="123"/>
    </row>
    <row r="63" customFormat="false" ht="12.95" hidden="false" customHeight="true" outlineLevel="0" collapsed="false">
      <c r="A63" s="121" t="s">
        <v>599</v>
      </c>
      <c r="B63" s="122"/>
      <c r="C63" s="123"/>
    </row>
    <row r="64" customFormat="false" ht="12.95" hidden="false" customHeight="true" outlineLevel="0" collapsed="false">
      <c r="A64" s="121" t="s">
        <v>602</v>
      </c>
      <c r="B64" s="122"/>
      <c r="C64" s="123"/>
    </row>
    <row r="65" customFormat="false" ht="12.95" hidden="false" customHeight="true" outlineLevel="0" collapsed="false">
      <c r="A65" s="121"/>
      <c r="B65" s="130"/>
      <c r="C65" s="123"/>
    </row>
    <row r="66" customFormat="false" ht="12.95" hidden="false" customHeight="true" outlineLevel="0" collapsed="false">
      <c r="A66" s="6" t="s">
        <v>230</v>
      </c>
      <c r="B66" s="131" t="s">
        <v>605</v>
      </c>
      <c r="C66" s="132"/>
    </row>
    <row r="67" customFormat="false" ht="12.95" hidden="false" customHeight="true" outlineLevel="0" collapsed="false">
      <c r="A67" s="6" t="s">
        <v>237</v>
      </c>
      <c r="B67" s="131" t="s">
        <v>606</v>
      </c>
      <c r="C67" s="132"/>
    </row>
    <row r="68" customFormat="false" ht="12.95" hidden="false" customHeight="true" outlineLevel="0" collapsed="false">
      <c r="A68" s="6" t="s">
        <v>244</v>
      </c>
      <c r="B68" s="131"/>
      <c r="C68" s="132"/>
    </row>
    <row r="69" customFormat="false" ht="12.95" hidden="false" customHeight="true" outlineLevel="0" collapsed="false">
      <c r="A69" s="6" t="s">
        <v>249</v>
      </c>
      <c r="B69" s="131"/>
      <c r="C69" s="132"/>
    </row>
    <row r="70" customFormat="false" ht="12.95" hidden="false" customHeight="true" outlineLevel="0" collapsed="false">
      <c r="A70" s="6" t="s">
        <v>254</v>
      </c>
      <c r="B70" s="131" t="s">
        <v>607</v>
      </c>
      <c r="C70" s="132"/>
    </row>
    <row r="71" customFormat="false" ht="12.95" hidden="false" customHeight="true" outlineLevel="0" collapsed="false">
      <c r="A71" s="6" t="s">
        <v>259</v>
      </c>
      <c r="B71" s="131" t="s">
        <v>608</v>
      </c>
      <c r="C71" s="132"/>
    </row>
    <row r="72" customFormat="false" ht="12.95" hidden="false" customHeight="true" outlineLevel="0" collapsed="false">
      <c r="A72" s="6" t="s">
        <v>264</v>
      </c>
      <c r="B72" s="131" t="s">
        <v>610</v>
      </c>
      <c r="C72" s="132"/>
    </row>
    <row r="73" customFormat="false" ht="12.95" hidden="false" customHeight="true" outlineLevel="0" collapsed="false">
      <c r="A73" s="6" t="s">
        <v>268</v>
      </c>
      <c r="B73" s="131" t="s">
        <v>611</v>
      </c>
      <c r="C73" s="132"/>
    </row>
    <row r="74" customFormat="false" ht="12.95" hidden="false" customHeight="true" outlineLevel="0" collapsed="false">
      <c r="A74" s="6" t="s">
        <v>276</v>
      </c>
      <c r="B74" s="131" t="s">
        <v>612</v>
      </c>
      <c r="C74" s="132"/>
    </row>
    <row r="75" customFormat="false" ht="12.95" hidden="false" customHeight="true" outlineLevel="0" collapsed="false">
      <c r="A75" s="6" t="s">
        <v>284</v>
      </c>
      <c r="B75" s="131" t="s">
        <v>613</v>
      </c>
      <c r="C75" s="132"/>
    </row>
    <row r="76" customFormat="false" ht="12.95" hidden="false" customHeight="true" outlineLevel="0" collapsed="false">
      <c r="A76" s="6" t="s">
        <v>396</v>
      </c>
      <c r="B76" s="131" t="s">
        <v>614</v>
      </c>
      <c r="C76" s="132"/>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C7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
  <cols>
    <col collapsed="false" hidden="false" max="1" min="1" style="0" width="8.4234693877551"/>
    <col collapsed="false" hidden="false" max="2" min="2" style="82" width="19.8724489795918"/>
    <col collapsed="false" hidden="false" max="3" min="3" style="0" width="94.3877551020408"/>
    <col collapsed="false" hidden="false" max="1025" min="4" style="0" width="8.4234693877551"/>
  </cols>
  <sheetData>
    <row r="1" customFormat="false" ht="12.8" hidden="false" customHeight="false" outlineLevel="0" collapsed="false">
      <c r="A1" s="6" t="s">
        <v>218</v>
      </c>
      <c r="B1" s="132" t="s">
        <v>286</v>
      </c>
      <c r="C1" s="75" t="s">
        <v>665</v>
      </c>
    </row>
    <row r="2" customFormat="false" ht="12.8" hidden="false" customHeight="false" outlineLevel="0" collapsed="false">
      <c r="A2" s="6" t="s">
        <v>221</v>
      </c>
      <c r="B2" s="132" t="s">
        <v>286</v>
      </c>
      <c r="C2" s="75" t="s">
        <v>668</v>
      </c>
    </row>
    <row r="3" customFormat="false" ht="12.8" hidden="false" customHeight="false" outlineLevel="0" collapsed="false">
      <c r="A3" s="6" t="s">
        <v>230</v>
      </c>
      <c r="B3" s="132" t="s">
        <v>218</v>
      </c>
      <c r="C3" s="75" t="s">
        <v>672</v>
      </c>
    </row>
    <row r="4" customFormat="false" ht="12.8" hidden="false" customHeight="false" outlineLevel="0" collapsed="false">
      <c r="A4" s="6" t="s">
        <v>237</v>
      </c>
      <c r="B4" s="132" t="s">
        <v>676</v>
      </c>
      <c r="C4" s="102" t="s">
        <v>775</v>
      </c>
    </row>
    <row r="5" customFormat="false" ht="12.8" hidden="false" customHeight="false" outlineLevel="0" collapsed="false">
      <c r="A5" s="6" t="s">
        <v>244</v>
      </c>
      <c r="B5" s="132" t="s">
        <v>681</v>
      </c>
      <c r="C5" s="75" t="s">
        <v>682</v>
      </c>
    </row>
    <row r="6" customFormat="false" ht="23.95" hidden="false" customHeight="false" outlineLevel="0" collapsed="false">
      <c r="A6" s="6" t="s">
        <v>249</v>
      </c>
      <c r="B6" s="132" t="s">
        <v>686</v>
      </c>
      <c r="C6" s="75" t="s">
        <v>687</v>
      </c>
    </row>
    <row r="7" customFormat="false" ht="12.8" hidden="false" customHeight="false" outlineLevel="0" collapsed="false">
      <c r="A7" s="6" t="s">
        <v>254</v>
      </c>
      <c r="B7" s="132" t="s">
        <v>286</v>
      </c>
      <c r="C7" s="75" t="s">
        <v>689</v>
      </c>
    </row>
    <row r="8" customFormat="false" ht="12.8" hidden="false" customHeight="false" outlineLevel="0" collapsed="false">
      <c r="A8" s="6" t="s">
        <v>259</v>
      </c>
      <c r="B8" s="132" t="s">
        <v>286</v>
      </c>
      <c r="C8" s="75" t="s">
        <v>691</v>
      </c>
    </row>
    <row r="9" customFormat="false" ht="12.8" hidden="false" customHeight="false" outlineLevel="0" collapsed="false">
      <c r="A9" s="6" t="s">
        <v>264</v>
      </c>
      <c r="B9" s="132" t="s">
        <v>695</v>
      </c>
      <c r="C9" s="75" t="s">
        <v>696</v>
      </c>
    </row>
    <row r="10" customFormat="false" ht="12.8" hidden="false" customHeight="false" outlineLevel="0" collapsed="false">
      <c r="A10" s="6" t="s">
        <v>268</v>
      </c>
      <c r="B10" s="132"/>
      <c r="C10" s="75"/>
    </row>
    <row r="11" customFormat="false" ht="12.8" hidden="false" customHeight="false" outlineLevel="0" collapsed="false">
      <c r="A11" s="6" t="s">
        <v>276</v>
      </c>
      <c r="B11" s="132"/>
      <c r="C11" s="75"/>
    </row>
    <row r="12" customFormat="false" ht="12.8" hidden="false" customHeight="false" outlineLevel="0" collapsed="false">
      <c r="A12" s="6" t="s">
        <v>284</v>
      </c>
      <c r="B12" s="132"/>
      <c r="C12" s="75"/>
    </row>
    <row r="13" customFormat="false" ht="12.8" hidden="false" customHeight="false" outlineLevel="0" collapsed="false">
      <c r="A13" s="6" t="s">
        <v>292</v>
      </c>
      <c r="B13" s="132"/>
      <c r="C13" s="75"/>
    </row>
    <row r="14" customFormat="false" ht="12.8" hidden="false" customHeight="false" outlineLevel="0" collapsed="false">
      <c r="A14" s="6" t="s">
        <v>299</v>
      </c>
      <c r="B14" s="132" t="s">
        <v>700</v>
      </c>
      <c r="C14" s="75" t="s">
        <v>776</v>
      </c>
    </row>
    <row r="15" customFormat="false" ht="12.8" hidden="false" customHeight="false" outlineLevel="0" collapsed="false">
      <c r="A15" s="6" t="s">
        <v>306</v>
      </c>
      <c r="B15" s="132" t="s">
        <v>705</v>
      </c>
      <c r="C15" s="75" t="s">
        <v>706</v>
      </c>
    </row>
    <row r="16" customFormat="false" ht="12.8" hidden="false" customHeight="false" outlineLevel="0" collapsed="false">
      <c r="A16" s="6" t="s">
        <v>313</v>
      </c>
      <c r="B16" s="132" t="s">
        <v>705</v>
      </c>
      <c r="C16" s="75" t="s">
        <v>709</v>
      </c>
    </row>
    <row r="17" customFormat="false" ht="23.95" hidden="false" customHeight="false" outlineLevel="0" collapsed="false">
      <c r="A17" s="6" t="s">
        <v>320</v>
      </c>
      <c r="B17" s="132" t="s">
        <v>711</v>
      </c>
      <c r="C17" s="75" t="s">
        <v>777</v>
      </c>
    </row>
    <row r="18" customFormat="false" ht="12.8" hidden="false" customHeight="false" outlineLevel="0" collapsed="false">
      <c r="A18" s="6" t="s">
        <v>328</v>
      </c>
      <c r="B18" s="132" t="s">
        <v>676</v>
      </c>
      <c r="C18" s="75" t="s">
        <v>716</v>
      </c>
    </row>
    <row r="19" customFormat="false" ht="12.8" hidden="false" customHeight="false" outlineLevel="0" collapsed="false">
      <c r="A19" s="6" t="s">
        <v>337</v>
      </c>
      <c r="B19" s="132" t="s">
        <v>719</v>
      </c>
      <c r="C19" s="75" t="s">
        <v>720</v>
      </c>
    </row>
    <row r="20" customFormat="false" ht="12.8" hidden="false" customHeight="false" outlineLevel="0" collapsed="false">
      <c r="A20" s="6" t="s">
        <v>345</v>
      </c>
      <c r="B20" s="132"/>
      <c r="C20" s="75"/>
    </row>
    <row r="21" customFormat="false" ht="12.8" hidden="false" customHeight="false" outlineLevel="0" collapsed="false">
      <c r="A21" s="6" t="s">
        <v>351</v>
      </c>
      <c r="B21" s="132"/>
      <c r="C21" s="75"/>
    </row>
    <row r="22" customFormat="false" ht="12.8" hidden="false" customHeight="false" outlineLevel="0" collapsed="false">
      <c r="A22" s="6" t="s">
        <v>359</v>
      </c>
      <c r="B22" s="132"/>
      <c r="C22" s="75"/>
    </row>
    <row r="23" customFormat="false" ht="12.8" hidden="false" customHeight="false" outlineLevel="0" collapsed="false">
      <c r="A23" s="6" t="s">
        <v>366</v>
      </c>
      <c r="B23" s="132"/>
      <c r="C23" s="75"/>
    </row>
    <row r="24" customFormat="false" ht="12.8" hidden="false" customHeight="false" outlineLevel="0" collapsed="false">
      <c r="A24" s="6" t="s">
        <v>372</v>
      </c>
      <c r="B24" s="132" t="s">
        <v>711</v>
      </c>
      <c r="C24" s="75" t="s">
        <v>722</v>
      </c>
    </row>
    <row r="25" customFormat="false" ht="12.8" hidden="false" customHeight="false" outlineLevel="0" collapsed="false">
      <c r="A25" s="6" t="s">
        <v>379</v>
      </c>
      <c r="B25" s="132" t="s">
        <v>724</v>
      </c>
      <c r="C25" s="75" t="s">
        <v>778</v>
      </c>
    </row>
    <row r="26" customFormat="false" ht="12.8" hidden="false" customHeight="false" outlineLevel="0" collapsed="false">
      <c r="A26" s="6" t="s">
        <v>386</v>
      </c>
      <c r="B26" s="132" t="s">
        <v>681</v>
      </c>
      <c r="C26" s="75" t="s">
        <v>727</v>
      </c>
    </row>
    <row r="27" customFormat="false" ht="12.8" hidden="false" customHeight="false" outlineLevel="0" collapsed="false">
      <c r="A27" s="6" t="s">
        <v>228</v>
      </c>
      <c r="B27" s="132" t="s">
        <v>729</v>
      </c>
      <c r="C27" s="75" t="s">
        <v>730</v>
      </c>
    </row>
    <row r="28" customFormat="false" ht="12.8" hidden="false" customHeight="false" outlineLevel="0" collapsed="false">
      <c r="A28" s="6" t="s">
        <v>396</v>
      </c>
      <c r="B28" s="132"/>
      <c r="C28" s="75"/>
    </row>
    <row r="29" customFormat="false" ht="12.8" hidden="false" customHeight="false" outlineLevel="0" collapsed="false">
      <c r="A29" s="6" t="s">
        <v>405</v>
      </c>
      <c r="B29" s="132"/>
      <c r="C29" s="75"/>
    </row>
    <row r="30" customFormat="false" ht="12.8" hidden="false" customHeight="false" outlineLevel="0" collapsed="false">
      <c r="A30" s="6" t="s">
        <v>190</v>
      </c>
      <c r="B30" s="132"/>
      <c r="C30" s="75"/>
    </row>
    <row r="31" customFormat="false" ht="12.8" hidden="false" customHeight="false" outlineLevel="0" collapsed="false">
      <c r="A31" s="6" t="s">
        <v>414</v>
      </c>
      <c r="B31" s="132"/>
      <c r="C31" s="75"/>
    </row>
    <row r="32" customFormat="false" ht="12.8" hidden="false" customHeight="false" outlineLevel="0" collapsed="false">
      <c r="A32" s="6" t="s">
        <v>417</v>
      </c>
      <c r="B32" s="132"/>
      <c r="C32" s="75"/>
    </row>
    <row r="33" customFormat="false" ht="12.8" hidden="false" customHeight="false" outlineLevel="0" collapsed="false">
      <c r="A33" s="6" t="s">
        <v>420</v>
      </c>
      <c r="B33" s="132"/>
      <c r="C33" s="75"/>
    </row>
    <row r="34" customFormat="false" ht="12.8" hidden="false" customHeight="false" outlineLevel="0" collapsed="false">
      <c r="A34" s="6" t="s">
        <v>423</v>
      </c>
      <c r="B34" s="132"/>
      <c r="C34" s="75"/>
    </row>
    <row r="35" customFormat="false" ht="12.8" hidden="false" customHeight="false" outlineLevel="0" collapsed="false">
      <c r="A35" s="6" t="s">
        <v>425</v>
      </c>
      <c r="B35" s="132"/>
      <c r="C35" s="75"/>
    </row>
    <row r="36" customFormat="false" ht="12.8" hidden="false" customHeight="false" outlineLevel="0" collapsed="false">
      <c r="A36" s="6" t="s">
        <v>432</v>
      </c>
      <c r="B36" s="132"/>
      <c r="C36" s="75"/>
    </row>
    <row r="37" customFormat="false" ht="12.8" hidden="false" customHeight="false" outlineLevel="0" collapsed="false">
      <c r="A37" s="6" t="s">
        <v>438</v>
      </c>
      <c r="B37" s="132"/>
      <c r="C37" s="75"/>
    </row>
    <row r="38" customFormat="false" ht="12.8" hidden="false" customHeight="false" outlineLevel="0" collapsed="false">
      <c r="A38" s="6" t="s">
        <v>443</v>
      </c>
      <c r="B38" s="132"/>
      <c r="C38" s="75"/>
    </row>
    <row r="39" customFormat="false" ht="12.8" hidden="false" customHeight="false" outlineLevel="0" collapsed="false">
      <c r="A39" s="6" t="s">
        <v>447</v>
      </c>
      <c r="B39" s="132"/>
      <c r="C39" s="75"/>
    </row>
    <row r="40" customFormat="false" ht="12.8" hidden="false" customHeight="false" outlineLevel="0" collapsed="false">
      <c r="A40" s="6" t="s">
        <v>454</v>
      </c>
      <c r="B40" s="132"/>
      <c r="C40" s="75"/>
    </row>
    <row r="41" customFormat="false" ht="12.8" hidden="false" customHeight="false" outlineLevel="0" collapsed="false">
      <c r="A41" s="6" t="s">
        <v>460</v>
      </c>
      <c r="B41" s="132" t="s">
        <v>733</v>
      </c>
      <c r="C41" s="75" t="s">
        <v>779</v>
      </c>
    </row>
    <row r="42" customFormat="false" ht="12.8" hidden="false" customHeight="false" outlineLevel="0" collapsed="false">
      <c r="A42" s="6" t="s">
        <v>467</v>
      </c>
      <c r="B42" s="133"/>
      <c r="C42" s="102" t="s">
        <v>737</v>
      </c>
    </row>
    <row r="43" customFormat="false" ht="12.8" hidden="false" customHeight="false" outlineLevel="0" collapsed="false">
      <c r="A43" s="6" t="s">
        <v>473</v>
      </c>
      <c r="B43" s="133" t="s">
        <v>719</v>
      </c>
      <c r="C43" s="102" t="s">
        <v>738</v>
      </c>
    </row>
    <row r="44" customFormat="false" ht="12.8" hidden="false" customHeight="false" outlineLevel="0" collapsed="false">
      <c r="A44" s="6" t="s">
        <v>480</v>
      </c>
      <c r="B44" s="133" t="s">
        <v>740</v>
      </c>
      <c r="C44" s="102" t="s">
        <v>741</v>
      </c>
    </row>
    <row r="45" customFormat="false" ht="12.8" hidden="false" customHeight="false" outlineLevel="0" collapsed="false">
      <c r="A45" s="6" t="s">
        <v>487</v>
      </c>
      <c r="B45" s="132" t="s">
        <v>743</v>
      </c>
      <c r="C45" s="75"/>
    </row>
    <row r="46" customFormat="false" ht="12.8" hidden="false" customHeight="false" outlineLevel="0" collapsed="false">
      <c r="A46" s="113" t="s">
        <v>495</v>
      </c>
      <c r="B46" s="134" t="s">
        <v>744</v>
      </c>
      <c r="C46" s="116" t="s">
        <v>745</v>
      </c>
    </row>
    <row r="47" customFormat="false" ht="12.8" hidden="false" customHeight="false" outlineLevel="0" collapsed="false">
      <c r="A47" s="6" t="s">
        <v>502</v>
      </c>
      <c r="B47" s="132"/>
      <c r="C47" s="75"/>
    </row>
    <row r="48" customFormat="false" ht="12.8" hidden="false" customHeight="false" outlineLevel="0" collapsed="false">
      <c r="A48" s="6" t="s">
        <v>507</v>
      </c>
      <c r="B48" s="132" t="s">
        <v>711</v>
      </c>
      <c r="C48" s="75" t="s">
        <v>749</v>
      </c>
    </row>
    <row r="49" customFormat="false" ht="12.8" hidden="false" customHeight="false" outlineLevel="0" collapsed="false">
      <c r="A49" s="6" t="s">
        <v>512</v>
      </c>
      <c r="B49" s="132" t="s">
        <v>711</v>
      </c>
      <c r="C49" s="75" t="s">
        <v>752</v>
      </c>
    </row>
    <row r="50" customFormat="false" ht="12.8" hidden="false" customHeight="false" outlineLevel="0" collapsed="false">
      <c r="A50" s="6" t="s">
        <v>519</v>
      </c>
      <c r="B50" s="132"/>
      <c r="C50" s="75"/>
    </row>
    <row r="51" customFormat="false" ht="12.8" hidden="false" customHeight="false" outlineLevel="0" collapsed="false">
      <c r="A51" s="6" t="s">
        <v>526</v>
      </c>
      <c r="B51" s="132"/>
      <c r="C51" s="75"/>
    </row>
    <row r="52" customFormat="false" ht="12.8" hidden="false" customHeight="false" outlineLevel="0" collapsed="false">
      <c r="A52" s="6" t="s">
        <v>531</v>
      </c>
      <c r="B52" s="132"/>
      <c r="C52" s="75"/>
    </row>
    <row r="53" customFormat="false" ht="12.8" hidden="false" customHeight="false" outlineLevel="0" collapsed="false">
      <c r="A53" s="6" t="s">
        <v>537</v>
      </c>
      <c r="B53" s="132"/>
      <c r="C53" s="75"/>
    </row>
    <row r="54" customFormat="false" ht="12.8" hidden="false" customHeight="false" outlineLevel="0" collapsed="false">
      <c r="A54" s="6" t="s">
        <v>543</v>
      </c>
      <c r="B54" s="132"/>
      <c r="C54" s="75"/>
    </row>
    <row r="55" customFormat="false" ht="12.8" hidden="false" customHeight="false" outlineLevel="0" collapsed="false">
      <c r="A55" s="6" t="s">
        <v>551</v>
      </c>
      <c r="B55" s="132"/>
      <c r="C55" s="75"/>
    </row>
    <row r="56" customFormat="false" ht="12.8" hidden="false" customHeight="false" outlineLevel="0" collapsed="false">
      <c r="A56" s="6" t="s">
        <v>558</v>
      </c>
      <c r="B56" s="132"/>
      <c r="C56" s="75"/>
    </row>
    <row r="57" customFormat="false" ht="12.8" hidden="false" customHeight="false" outlineLevel="0" collapsed="false">
      <c r="A57" s="6" t="s">
        <v>566</v>
      </c>
      <c r="B57" s="132"/>
      <c r="C57" s="75"/>
    </row>
    <row r="58" customFormat="false" ht="12.8" hidden="false" customHeight="false" outlineLevel="0" collapsed="false">
      <c r="A58" s="6" t="s">
        <v>573</v>
      </c>
      <c r="B58" s="132"/>
      <c r="C58" s="75"/>
    </row>
    <row r="59" customFormat="false" ht="12.8" hidden="false" customHeight="false" outlineLevel="0" collapsed="false">
      <c r="A59" s="6" t="s">
        <v>578</v>
      </c>
      <c r="B59" s="132"/>
      <c r="C59" s="75"/>
    </row>
    <row r="60" customFormat="false" ht="12.8" hidden="false" customHeight="false" outlineLevel="0" collapsed="false">
      <c r="A60" s="6" t="s">
        <v>584</v>
      </c>
      <c r="B60" s="132"/>
      <c r="C60" s="75"/>
    </row>
    <row r="61" customFormat="false" ht="12.8" hidden="false" customHeight="false" outlineLevel="0" collapsed="false">
      <c r="A61" s="6" t="s">
        <v>590</v>
      </c>
      <c r="B61" s="132"/>
      <c r="C61" s="75"/>
    </row>
    <row r="62" customFormat="false" ht="12.8" hidden="false" customHeight="false" outlineLevel="0" collapsed="false">
      <c r="A62" s="6" t="s">
        <v>593</v>
      </c>
      <c r="B62" s="132"/>
      <c r="C62" s="75"/>
    </row>
    <row r="63" customFormat="false" ht="12.8" hidden="false" customHeight="false" outlineLevel="0" collapsed="false">
      <c r="A63" s="6" t="s">
        <v>596</v>
      </c>
      <c r="B63" s="132"/>
      <c r="C63" s="75"/>
    </row>
    <row r="64" customFormat="false" ht="12.8" hidden="false" customHeight="false" outlineLevel="0" collapsed="false">
      <c r="A64" s="6" t="s">
        <v>599</v>
      </c>
      <c r="B64" s="132"/>
      <c r="C64" s="75"/>
    </row>
    <row r="65" customFormat="false" ht="12.8" hidden="false" customHeight="false" outlineLevel="0" collapsed="false">
      <c r="A65" s="6" t="s">
        <v>602</v>
      </c>
      <c r="B65" s="132"/>
      <c r="C65" s="75"/>
    </row>
    <row r="66" customFormat="false" ht="12.8" hidden="false" customHeight="false" outlineLevel="0" collapsed="false">
      <c r="A66" s="6"/>
      <c r="B66" s="132"/>
      <c r="C66" s="75"/>
    </row>
    <row r="67" customFormat="false" ht="12.8" hidden="false" customHeight="false" outlineLevel="0" collapsed="false">
      <c r="A67" s="6" t="s">
        <v>230</v>
      </c>
      <c r="B67" s="132"/>
      <c r="C67" s="75" t="s">
        <v>605</v>
      </c>
    </row>
    <row r="68" customFormat="false" ht="12.8" hidden="false" customHeight="false" outlineLevel="0" collapsed="false">
      <c r="A68" s="6" t="s">
        <v>237</v>
      </c>
      <c r="B68" s="132"/>
      <c r="C68" s="75" t="s">
        <v>606</v>
      </c>
    </row>
    <row r="69" customFormat="false" ht="12.8" hidden="false" customHeight="false" outlineLevel="0" collapsed="false">
      <c r="A69" s="6" t="s">
        <v>244</v>
      </c>
      <c r="B69" s="132"/>
      <c r="C69" s="75"/>
    </row>
    <row r="70" customFormat="false" ht="12.8" hidden="false" customHeight="false" outlineLevel="0" collapsed="false">
      <c r="A70" s="6" t="s">
        <v>249</v>
      </c>
      <c r="B70" s="132"/>
      <c r="C70" s="75"/>
    </row>
    <row r="71" customFormat="false" ht="12.8" hidden="false" customHeight="false" outlineLevel="0" collapsed="false">
      <c r="A71" s="6" t="s">
        <v>254</v>
      </c>
      <c r="B71" s="132"/>
      <c r="C71" s="75" t="s">
        <v>607</v>
      </c>
    </row>
    <row r="72" customFormat="false" ht="12.8" hidden="false" customHeight="false" outlineLevel="0" collapsed="false">
      <c r="A72" s="6" t="s">
        <v>259</v>
      </c>
      <c r="B72" s="132"/>
      <c r="C72" s="75" t="s">
        <v>608</v>
      </c>
    </row>
    <row r="73" customFormat="false" ht="12.8" hidden="false" customHeight="false" outlineLevel="0" collapsed="false">
      <c r="A73" s="6" t="s">
        <v>264</v>
      </c>
      <c r="B73" s="132"/>
      <c r="C73" s="75" t="s">
        <v>610</v>
      </c>
    </row>
    <row r="74" customFormat="false" ht="12.8" hidden="false" customHeight="false" outlineLevel="0" collapsed="false">
      <c r="A74" s="6" t="s">
        <v>268</v>
      </c>
      <c r="B74" s="132"/>
      <c r="C74" s="75" t="s">
        <v>611</v>
      </c>
    </row>
    <row r="75" customFormat="false" ht="12.8" hidden="false" customHeight="false" outlineLevel="0" collapsed="false">
      <c r="A75" s="6" t="s">
        <v>276</v>
      </c>
      <c r="B75" s="132"/>
      <c r="C75" s="75" t="s">
        <v>612</v>
      </c>
    </row>
    <row r="76" customFormat="false" ht="12.8" hidden="false" customHeight="false" outlineLevel="0" collapsed="false">
      <c r="A76" s="6" t="s">
        <v>284</v>
      </c>
      <c r="B76" s="132"/>
      <c r="C76" s="75" t="s">
        <v>613</v>
      </c>
    </row>
    <row r="77" customFormat="false" ht="12.8" hidden="false" customHeight="false" outlineLevel="0" collapsed="false">
      <c r="A77" s="6" t="s">
        <v>396</v>
      </c>
      <c r="B77" s="132"/>
      <c r="C77" s="75" t="s">
        <v>614</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529</TotalTime>
  <Application>LibreOffice/5.1.6.2$Linux_X86_64 LibreOffice_project/10m0$Build-2</Application>
  <Company>APD Cryogenics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2003-03-12T19:01:21Z</dcterms:created>
  <dc:creator>gash</dc:creator>
  <dc:description/>
  <dc:language>en-US</dc:language>
  <cp:lastModifiedBy/>
  <dcterms:modified xsi:type="dcterms:W3CDTF">2019-04-18T16:05:23Z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APD Cryogenics</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